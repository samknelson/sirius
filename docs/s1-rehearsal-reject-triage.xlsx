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iage" state="visible" r:id="rId4"/>
    <sheet sheetId="2" name="Run History" state="visible" r:id="rId5"/>
    <sheet sheetId="3" name="Instructions &amp; Legend" state="visible" r:id="rId6"/>
  </sheets>
  <calcPr calcId="171027"/>
</workbook>
</file>

<file path=xl/sharedStrings.xml><?xml version="1.0" encoding="utf-8"?>
<sst xmlns="http://schemas.openxmlformats.org/spreadsheetml/2006/main" count="1263" uniqueCount="249">
  <si>
    <t>S1 Rehearsal Reject Triage — Generated August 17, 2026</t>
  </si>
  <si>
    <t>Loader</t>
  </si>
  <si>
    <t>Latest Run Date</t>
  </si>
  <si>
    <t>Outcome</t>
  </si>
  <si>
    <t>Reject Reason</t>
  </si>
  <si>
    <t>Count (Latest Run)</t>
  </si>
  <si>
    <t>Count Trend (oldest → newest)</t>
  </si>
  <si>
    <t>Triage Category</t>
  </si>
  <si>
    <t>Review Status</t>
  </si>
  <si>
    <t>Allow-list?</t>
  </si>
  <si>
    <t>Owner</t>
  </si>
  <si>
    <t>Decision / Notes</t>
  </si>
  <si>
    <t>Follow-up Ref</t>
  </si>
  <si>
    <t>56 triage rows total  |  Rows sorted: largest reject count first; resolved/no-rejects at bottom</t>
  </si>
  <si>
    <t>t17-benefit-history</t>
  </si>
  <si>
    <t>8/9/2026, 4:33:32 PM</t>
  </si>
  <si>
    <t>verified</t>
  </si>
  <si>
    <t>relation_unmapped</t>
  </si>
  <si>
    <t>71964 → 71964 → 71964</t>
  </si>
  <si>
    <t/>
  </si>
  <si>
    <t>Not reviewed</t>
  </si>
  <si>
    <t>t3t1-contacts-workers</t>
  </si>
  <si>
    <t>8/8/2026, 1:46:02 PM</t>
  </si>
  <si>
    <t>worker_id_value_collision</t>
  </si>
  <si>
    <t>17107</t>
  </si>
  <si>
    <t>duplicate_email</t>
  </si>
  <si>
    <t>10614</t>
  </si>
  <si>
    <t>benefit_unmapped</t>
  </si>
  <si>
    <t>6863 → 6863 → 6863</t>
  </si>
  <si>
    <t>end_before_start</t>
  </si>
  <si>
    <t>2553 → 2553 → 2553</t>
  </si>
  <si>
    <t>employer_unresolved</t>
  </si>
  <si>
    <t>35103 → 1462 → 1462</t>
  </si>
  <si>
    <t>address_incomplete</t>
  </si>
  <si>
    <t>1089</t>
  </si>
  <si>
    <t>t16-elections</t>
  </si>
  <si>
    <t>8/9/2026, 11:29:39 AM</t>
  </si>
  <si>
    <t>end_not_after_start</t>
  </si>
  <si>
    <t>625 → 625 → 625</t>
  </si>
  <si>
    <t>worker_unmapped</t>
  </si>
  <si>
    <t>452 → 452 → 452</t>
  </si>
  <si>
    <t>t7t24-employers</t>
  </si>
  <si>
    <t>8/8/2026, 5:43:19 PM</t>
  </si>
  <si>
    <t>442 → 442</t>
  </si>
  <si>
    <t>t27-users</t>
  </si>
  <si>
    <t>8/8/2026, 5:36:00 PM</t>
  </si>
  <si>
    <t>no_resolvable_worker</t>
  </si>
  <si>
    <t>335</t>
  </si>
  <si>
    <t>234 → 234 → 234</t>
  </si>
  <si>
    <t>t-policies</t>
  </si>
  <si>
    <t>8/8/2026, 5:07:27 PM</t>
  </si>
  <si>
    <t>policy_unmatched_unreferenced</t>
  </si>
  <si>
    <t>129 → 129</t>
  </si>
  <si>
    <t>t19-payments</t>
  </si>
  <si>
    <t>8/8/2026, 7:17:26 PM</t>
  </si>
  <si>
    <t>amount_missing</t>
  </si>
  <si>
    <t>102 → 102</t>
  </si>
  <si>
    <t>n4-employee-ids</t>
  </si>
  <si>
    <t>8/8/2026, 6:31:15 PM</t>
  </si>
  <si>
    <t>80 → 80</t>
  </si>
  <si>
    <t>shopcontact_no_name</t>
  </si>
  <si>
    <t>73 → 73</t>
  </si>
  <si>
    <t>subscriber_worker_mismatch</t>
  </si>
  <si>
    <t>69 → 69 → 69</t>
  </si>
  <si>
    <t>54 → 54 → 54</t>
  </si>
  <si>
    <t>t15-relationships</t>
  </si>
  <si>
    <t>8/8/2026, 6:50:15 PM</t>
  </si>
  <si>
    <t>owner_has_no_worker</t>
  </si>
  <si>
    <t>42 → 42</t>
  </si>
  <si>
    <t>benefit_ref_missing</t>
  </si>
  <si>
    <t>41 → 41 → 41</t>
  </si>
  <si>
    <t>payer_ref_missing</t>
  </si>
  <si>
    <t>40 → 40</t>
  </si>
  <si>
    <t>ambiguous_worker_email</t>
  </si>
  <si>
    <t>26</t>
  </si>
  <si>
    <t>22 → 22 → 22</t>
  </si>
  <si>
    <t>phone_invalid</t>
  </si>
  <si>
    <t>21</t>
  </si>
  <si>
    <t>start_missing</t>
  </si>
  <si>
    <t>16 → 16 → 16</t>
  </si>
  <si>
    <t>contact_no_name</t>
  </si>
  <si>
    <t>9</t>
  </si>
  <si>
    <t>alt_worker_unmapped</t>
  </si>
  <si>
    <t>7 → 7</t>
  </si>
  <si>
    <t>relation_create_failed</t>
  </si>
  <si>
    <t>6 → 6</t>
  </si>
  <si>
    <t>shopcontact_employer_unresolved</t>
  </si>
  <si>
    <t>5 → 5</t>
  </si>
  <si>
    <t>employer_unmapped</t>
  </si>
  <si>
    <t>4 → 4</t>
  </si>
  <si>
    <t>worker_contact_unresolved</t>
  </si>
  <si>
    <t>4</t>
  </si>
  <si>
    <t>3 → 3 → 3</t>
  </si>
  <si>
    <t>worker_ref_missing</t>
  </si>
  <si>
    <t>status_missing</t>
  </si>
  <si>
    <t>3 → 3</t>
  </si>
  <si>
    <t>account_unensured</t>
  </si>
  <si>
    <t>n21-call-logs</t>
  </si>
  <si>
    <t>8/11/2026, 4:14:24 PM</t>
  </si>
  <si>
    <t>handler_dangling</t>
  </si>
  <si>
    <t>0 → 2 → 2 → 2 → 2</t>
  </si>
  <si>
    <t>t-employer-policies</t>
  </si>
  <si>
    <t>8/8/2026, 10:13:52 PM</t>
  </si>
  <si>
    <t>policy_unmapped</t>
  </si>
  <si>
    <t>2 → 2</t>
  </si>
  <si>
    <t>t-employer-rates</t>
  </si>
  <si>
    <t>8/8/2026, 10:20:32 PM</t>
  </si>
  <si>
    <t>bad_rate</t>
  </si>
  <si>
    <t>alt_contact_unmapped</t>
  </si>
  <si>
    <t>employer_ref_missing</t>
  </si>
  <si>
    <t>2 → 2 → 2</t>
  </si>
  <si>
    <t>rate_conflict</t>
  </si>
  <si>
    <t>1 → 1</t>
  </si>
  <si>
    <t>policy_ref_not_staged</t>
  </si>
  <si>
    <t>date_missing</t>
  </si>
  <si>
    <t>payment_type_missing</t>
  </si>
  <si>
    <t>ssn_collision_q36</t>
  </si>
  <si>
    <t>1</t>
  </si>
  <si>
    <t>t6-member-statuses</t>
  </si>
  <si>
    <t>8/8/2026, 5:35:55 PM</t>
  </si>
  <si>
    <t>category_unmapped</t>
  </si>
  <si>
    <t>700 → 7 → 2 → 0 → 0 (resolved)</t>
  </si>
  <si>
    <t>handler_unresolved</t>
  </si>
  <si>
    <t>9202 → 0 → 0 → 0 → 0 (resolved)</t>
  </si>
  <si>
    <t>seed-trust-config</t>
  </si>
  <si>
    <t>8/8/2026, 4:42:17 PM</t>
  </si>
  <si>
    <t>completed</t>
  </si>
  <si>
    <t>(no rejects)</t>
  </si>
  <si>
    <t>none in all runs</t>
  </si>
  <si>
    <t>election_type_unmapped</t>
  </si>
  <si>
    <t>61823 → 0 → 0 (resolved)</t>
  </si>
  <si>
    <t>open_end_through_required</t>
  </si>
  <si>
    <t>159735 → 0 → 0 (resolved)</t>
  </si>
  <si>
    <t>t18-ledger</t>
  </si>
  <si>
    <t>8/8/2026, 6:26:05 PM</t>
  </si>
  <si>
    <t>t20-hours</t>
  </si>
  <si>
    <t>8/9/2026, 5:08:00 PM</t>
  </si>
  <si>
    <t>t29-enrollment-packet-tags</t>
  </si>
  <si>
    <t>8/11/2026, 4:17:53 PM</t>
  </si>
  <si>
    <t>t4-options</t>
  </si>
  <si>
    <t>8/8/2026, 1:43:24 PM</t>
  </si>
  <si>
    <t>S1 Rehearsal — Full Run History (all runs, all reject reasons)</t>
  </si>
  <si>
    <t>Started</t>
  </si>
  <si>
    <t>Duration</t>
  </si>
  <si>
    <t>Count</t>
  </si>
  <si>
    <t>133.2s</t>
  </si>
  <si>
    <t>(none)</t>
  </si>
  <si>
    <t>111.5s</t>
  </si>
  <si>
    <t>8/11/2026, 4:08:09 PM</t>
  </si>
  <si>
    <t>169s</t>
  </si>
  <si>
    <t>8/11/2026, 1:31:13 PM</t>
  </si>
  <si>
    <t>182.7s</t>
  </si>
  <si>
    <t>8/11/2026, 12:59:54 PM</t>
  </si>
  <si>
    <t>406.8s</t>
  </si>
  <si>
    <t>8/11/2026, 11:44:29 AM</t>
  </si>
  <si>
    <t>61.8s</t>
  </si>
  <si>
    <t>8/11/2026, 10:30:03 AM</t>
  </si>
  <si>
    <t>83.4s</t>
  </si>
  <si>
    <t>142557.4s</t>
  </si>
  <si>
    <t>1263.7s</t>
  </si>
  <si>
    <t>8/9/2026, 11:58:15 AM</t>
  </si>
  <si>
    <t>16172.5s</t>
  </si>
  <si>
    <t>1399.8s</t>
  </si>
  <si>
    <t>8/8/2026, 10:29:04 PM</t>
  </si>
  <si>
    <t>17754s</t>
  </si>
  <si>
    <t>8/8/2026, 10:25:40 PM</t>
  </si>
  <si>
    <t>36.1s</t>
  </si>
  <si>
    <t>2.5s</t>
  </si>
  <si>
    <t>3.4s</t>
  </si>
  <si>
    <t>8/8/2026, 10:08:57 PM</t>
  </si>
  <si>
    <t>4.4s</t>
  </si>
  <si>
    <t>8/8/2026, 9:56:41 PM</t>
  </si>
  <si>
    <t>6.3s</t>
  </si>
  <si>
    <t>0.8s</t>
  </si>
  <si>
    <t>8/8/2026, 7:06:36 PM</t>
  </si>
  <si>
    <t>36.4s</t>
  </si>
  <si>
    <t>8/8/2026, 6:56:34 PM</t>
  </si>
  <si>
    <t>4367.7s</t>
  </si>
  <si>
    <t>196.1s</t>
  </si>
  <si>
    <t>2.9s</t>
  </si>
  <si>
    <t>2279.1s</t>
  </si>
  <si>
    <t>8/8/2026, 6:25:48 PM</t>
  </si>
  <si>
    <t>9s</t>
  </si>
  <si>
    <t>8/8/2026, 6:25:44 PM</t>
  </si>
  <si>
    <t>910.6s</t>
  </si>
  <si>
    <t>14.1s</t>
  </si>
  <si>
    <t>186.3s</t>
  </si>
  <si>
    <t>2089.3s</t>
  </si>
  <si>
    <t>8/8/2026, 5:35:42 PM</t>
  </si>
  <si>
    <t>28.9s</t>
  </si>
  <si>
    <t>40.2s</t>
  </si>
  <si>
    <t>8/8/2026, 5:01:54 PM</t>
  </si>
  <si>
    <t>55.4s</t>
  </si>
  <si>
    <t>0.7s</t>
  </si>
  <si>
    <t>13542.5s</t>
  </si>
  <si>
    <t>0.6s</t>
  </si>
  <si>
    <t>S1 Rehearsal Reject Triage — Instructions &amp; Legend</t>
  </si>
  <si>
    <t>PURPOSE</t>
  </si>
  <si>
    <t>This workbook is the triage tracker for the initial S1 rehearsal upload. Every (loader, reject reason) pair from the most recent run of each loader appears as one row in the Triage sheet. Use it to decide what to do with each reject set before the production migration runs.</t>
  </si>
  <si>
    <t>HOW TO USE</t>
  </si>
  <si>
    <t>1. Start at the top</t>
  </si>
  <si>
    <t>Rows are sorted largest-count-first so the highest-impact reject sets come first. Resolved and no-reject rows are at the bottom.</t>
  </si>
  <si>
    <t>2. Fill Triage Category</t>
  </si>
  <si>
    <t>Pick one of the five categories below for each open row.</t>
  </si>
  <si>
    <t>3. Fill Review Status</t>
  </si>
  <si>
    <t>Set to "In review" while deciding, "Decided" when you have a ruling, "Resolved" when all follow-up work is done.</t>
  </si>
  <si>
    <t>4. Fill Allow-list?</t>
  </si>
  <si>
    <t>"yes" = this reason should be added to the --allow-rejects list for the next run. "no" = fix needed first. "n/a" = no-reject / resolved rows.</t>
  </si>
  <si>
    <t>5. Read the Trend column</t>
  </si>
  <si>
    <t>Shows counts across runs from oldest → newest. Zero in the latest position means the reject set is already gone. Green rows in Triage are resolved sets (zero in latest run).</t>
  </si>
  <si>
    <t>6. Grey rows</t>
  </si>
  <si>
    <t>Loaders that completed with zero rejects in the latest run.</t>
  </si>
  <si>
    <t>TRIAGE CATEGORIES</t>
  </si>
  <si>
    <t>Acceptable as-is</t>
  </si>
  <si>
    <t>The S1 data genuinely contains records that cannot or should not be imported. Rejecting them is correct behavior. Add to --allow-rejects.</t>
  </si>
  <si>
    <t>S1 data cleanup</t>
  </si>
  <si>
    <t>Reject caused by bad data in S1 (missing fields, bad formats, orphaned references). Clean the source data and re-run.</t>
  </si>
  <si>
    <t>Loader script fix</t>
  </si>
  <si>
    <t>Reject caused by a gap or bug in the loader code. The data could be imported if the script were corrected.</t>
  </si>
  <si>
    <t>Needs ruling</t>
  </si>
  <si>
    <t>Unclear which category applies. A human decision or business-rule clarification is required.</t>
  </si>
  <si>
    <t>Already fixed</t>
  </si>
  <si>
    <t>The reject appeared in a prior run but the trend shows it has reached zero in the latest run. No further action needed.</t>
  </si>
  <si>
    <t>REVIEW STATUS</t>
  </si>
  <si>
    <t>Default. No one has looked at this row yet.</t>
  </si>
  <si>
    <t>In review</t>
  </si>
  <si>
    <t>Someone is actively investigating.</t>
  </si>
  <si>
    <t>Decided</t>
  </si>
  <si>
    <t>A triage category and ruling have been assigned.</t>
  </si>
  <si>
    <t>Resolved</t>
  </si>
  <si>
    <t>Any follow-up work (cleanup, fix, allow-list addition) is complete.</t>
  </si>
  <si>
    <t>SHEETS IN THIS WORKBOOK</t>
  </si>
  <si>
    <t>Triage</t>
  </si>
  <si>
    <t>One row per (loader, reject reason) from the latest run of each loader. Fill in the right-hand columns to track decisions.</t>
  </si>
  <si>
    <t>Run History</t>
  </si>
  <si>
    <t>Every run from the log with all reject reasons and counts. Use to understand trends and history for any specific loader.</t>
  </si>
  <si>
    <t>Instructions &amp; Legend</t>
  </si>
  <si>
    <t>This sheet.</t>
  </si>
  <si>
    <t>FILE METADATA</t>
  </si>
  <si>
    <t>Log source</t>
  </si>
  <si>
    <t>attached_assets/Pasted--Run-Started-Duration-Outcome-Rejects-t29-enrollment-pa_1786977106071.txt</t>
  </si>
  <si>
    <t>Generated</t>
  </si>
  <si>
    <t>8/17/2026, 2:39:19 PM</t>
  </si>
  <si>
    <t>Total loaders</t>
  </si>
  <si>
    <t>18</t>
  </si>
  <si>
    <t>Total triage rows</t>
  </si>
  <si>
    <t>56</t>
  </si>
  <si>
    <t>Total run history rows</t>
  </si>
  <si>
    <t>34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</si>
</sst>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
      <sz val="14"/>
    </font>
    <font>
      <b/>
      <color rgb="FFFFFF"/>
      <sz val="10"/>
    </font>
    <font>
      <i/>
      <color rgb="595959"/>
      <sz val="9"/>
    </font>
    <font>
      <b/>
      <color rgb="1F4E79"/>
      <sz val="9"/>
    </font>
    <font>
      <b/>
      <sz val="10"/>
    </font>
    <font>
      <color rgb="595959"/>
      <sz val="9"/>
    </font>
    <font>
      <sz val="9"/>
    </font>
    <font>
      <sz val="10"/>
    </font>
    <font>
      <color rgb="404040"/>
      <sz val="9"/>
    </font>
    <font>
      <color rgb="4A7C59"/>
      <sz val="9"/>
    </font>
    <font>
      <b/>
      <color rgb="FFFFFF"/>
      <sz val="13"/>
    </font>
    <font>
      <i/>
      <color rgb="808080"/>
      <sz val="9"/>
    </font>
    <font>
      <b/>
      <color rgb="FFFFFF"/>
      <sz val="11"/>
    </font>
  </fonts>
  <fills count="9">
    <fill>
      <patternFill patternType="none"/>
    </fill>
    <fill>
      <patternFill patternType="gray125"/>
    </fill>
    <fill>
      <patternFill patternType="solid">
        <fgColor rgb="1F4E79"/>
      </patternFill>
    </fill>
    <fill>
      <patternFill patternType="solid">
        <fgColor rgb="2E75B6"/>
      </patternFill>
    </fill>
    <fill>
      <patternFill patternType="solid">
        <fgColor rgb="FFF2CC"/>
      </patternFill>
    </fill>
    <fill>
      <patternFill patternType="solid">
        <fgColor rgb="FFFFFF"/>
      </patternFill>
    </fill>
    <fill>
      <patternFill patternType="solid">
        <fgColor rgb="EBF3FB"/>
      </patternFill>
    </fill>
    <fill>
      <patternFill patternType="solid">
        <fgColor rgb="E2EFDA"/>
      </patternFill>
    </fill>
    <fill>
      <patternFill patternType="solid">
        <fgColor rgb="F2F2F2"/>
      </patternFill>
    </fill>
  </fills>
  <borders count="2">
    <border>
      <left/>
      <right/>
      <top/>
      <bottom/>
      <diagonal/>
    </border>
    <border>
      <left style="thin">
        <color rgb="BFBFBF"/>
      </left>
      <right style="thin">
        <color rgb="BFBFBF"/>
      </right>
      <top style="thin">
        <color rgb="BFBFBF"/>
      </top>
      <bottom style="thin">
        <color rgb="BFBFBF"/>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0" xfId="0" applyFont="1" applyFill="1" applyAlignment="1">
      <alignment horizontal="left" vertical="center" indent="1"/>
    </xf>
    <xf numFmtId="0" fontId="4" fillId="4" borderId="0" xfId="0" applyFont="1" applyFill="1" applyAlignment="1">
      <alignment horizontal="left" vertical="center" indent="1"/>
    </xf>
    <xf numFmtId="0" fontId="5" fillId="5" borderId="1" xfId="0" applyFont="1" applyFill="1" applyBorder="1"/>
    <xf numFmtId="0" fontId="6" fillId="5" borderId="1" xfId="0" applyFont="1" applyFill="1" applyBorder="1"/>
    <xf numFmtId="0" fontId="7" fillId="5" borderId="1" xfId="0" applyFont="1" applyFill="1" applyBorder="1" applyAlignment="1">
      <alignment horizontal="center"/>
    </xf>
    <xf numFmtId="0" fontId="8" fillId="5" borderId="1" xfId="0" applyFont="1" applyFill="1" applyBorder="1"/>
    <xf numFmtId="3" fontId="8" fillId="5" borderId="1" xfId="0" applyNumberFormat="1" applyFont="1" applyFill="1" applyBorder="1" applyAlignment="1">
      <alignment horizontal="right"/>
    </xf>
    <xf numFmtId="0" fontId="9" fillId="5" borderId="1" xfId="0" applyFont="1" applyFill="1" applyBorder="1"/>
    <xf numFmtId="0" fontId="8" fillId="5" borderId="1" xfId="0" applyFont="1" applyFill="1" applyBorder="1" applyAlignment="1">
      <alignment wrapText="1"/>
    </xf>
    <xf numFmtId="0" fontId="5" fillId="6" borderId="1" xfId="0" applyFont="1" applyFill="1" applyBorder="1"/>
    <xf numFmtId="0" fontId="6" fillId="6" borderId="1" xfId="0" applyFont="1" applyFill="1" applyBorder="1"/>
    <xf numFmtId="0" fontId="7" fillId="6" borderId="1" xfId="0" applyFont="1" applyFill="1" applyBorder="1" applyAlignment="1">
      <alignment horizontal="center"/>
    </xf>
    <xf numFmtId="0" fontId="8" fillId="6" borderId="1" xfId="0" applyFont="1" applyFill="1" applyBorder="1"/>
    <xf numFmtId="3" fontId="8" fillId="6" borderId="1" xfId="0" applyNumberFormat="1" applyFont="1" applyFill="1" applyBorder="1" applyAlignment="1">
      <alignment horizontal="right"/>
    </xf>
    <xf numFmtId="0" fontId="9" fillId="6" borderId="1" xfId="0" applyFont="1" applyFill="1" applyBorder="1"/>
    <xf numFmtId="0" fontId="8" fillId="6" borderId="1" xfId="0" applyFont="1" applyFill="1" applyBorder="1" applyAlignment="1">
      <alignment wrapText="1"/>
    </xf>
    <xf numFmtId="0" fontId="8" fillId="7" borderId="1" xfId="0" applyFont="1" applyFill="1" applyBorder="1"/>
    <xf numFmtId="0" fontId="6" fillId="7" borderId="1" xfId="0" applyFont="1" applyFill="1" applyBorder="1"/>
    <xf numFmtId="0" fontId="7" fillId="7" borderId="1" xfId="0" applyFont="1" applyFill="1" applyBorder="1" applyAlignment="1">
      <alignment horizontal="center"/>
    </xf>
    <xf numFmtId="3" fontId="8" fillId="7" borderId="1" xfId="0" applyNumberFormat="1" applyFont="1" applyFill="1" applyBorder="1" applyAlignment="1">
      <alignment horizontal="right"/>
    </xf>
    <xf numFmtId="0" fontId="10" fillId="7" borderId="1" xfId="0" applyFont="1" applyFill="1" applyBorder="1"/>
    <xf numFmtId="0" fontId="8" fillId="7" borderId="1" xfId="0" applyFont="1" applyFill="1" applyBorder="1" applyAlignment="1">
      <alignment wrapText="1"/>
    </xf>
    <xf numFmtId="0" fontId="8" fillId="8" borderId="1" xfId="0" applyFont="1" applyFill="1" applyBorder="1"/>
    <xf numFmtId="0" fontId="6" fillId="8" borderId="1" xfId="0" applyFont="1" applyFill="1" applyBorder="1"/>
    <xf numFmtId="0" fontId="7" fillId="8" borderId="1" xfId="0" applyFont="1" applyFill="1" applyBorder="1" applyAlignment="1">
      <alignment horizontal="center"/>
    </xf>
    <xf numFmtId="3" fontId="8" fillId="8" borderId="1" xfId="0" applyNumberFormat="1" applyFont="1" applyFill="1" applyBorder="1" applyAlignment="1">
      <alignment horizontal="right"/>
    </xf>
    <xf numFmtId="0" fontId="9" fillId="8" borderId="1" xfId="0" applyFont="1" applyFill="1" applyBorder="1"/>
    <xf numFmtId="0" fontId="8" fillId="8" borderId="1" xfId="0" applyFont="1" applyFill="1" applyBorder="1" applyAlignment="1">
      <alignment wrapText="1"/>
    </xf>
    <xf numFmtId="0" fontId="11" fillId="2" borderId="0" xfId="0" applyFont="1" applyFill="1" applyAlignment="1">
      <alignment horizontal="center" vertical="center"/>
    </xf>
    <xf numFmtId="0" fontId="2" fillId="3" borderId="1" xfId="0" applyFont="1" applyFill="1" applyBorder="1" applyAlignment="1">
      <alignment horizontal="center" vertical="center"/>
    </xf>
    <xf numFmtId="0" fontId="7" fillId="8" borderId="1" xfId="0" applyFont="1" applyFill="1" applyBorder="1"/>
    <xf numFmtId="0" fontId="12" fillId="8" borderId="1" xfId="0" applyFont="1" applyFill="1" applyBorder="1"/>
    <xf numFmtId="0" fontId="7" fillId="5" borderId="1" xfId="0" applyFont="1" applyFill="1" applyBorder="1"/>
    <xf numFmtId="3" fontId="7" fillId="5" borderId="1" xfId="0" applyNumberFormat="1" applyFont="1" applyFill="1" applyBorder="1" applyAlignment="1">
      <alignment horizontal="right"/>
    </xf>
    <xf numFmtId="0" fontId="7" fillId="6" borderId="1" xfId="0" applyFont="1" applyFill="1" applyBorder="1"/>
    <xf numFmtId="3" fontId="7" fillId="6" borderId="1" xfId="0" applyNumberFormat="1" applyFont="1" applyFill="1" applyBorder="1" applyAlignment="1">
      <alignment horizontal="right"/>
    </xf>
    <xf numFmtId="0" fontId="13" fillId="3" borderId="0" xfId="0" applyFont="1" applyFill="1" applyAlignment="1">
      <alignment horizontal="left" vertical="center" indent="1"/>
    </xf>
    <xf numFmtId="0" fontId="8" fillId="8" borderId="1" xfId="0" applyFont="1" applyFill="1" applyBorder="1" applyAlignment="1">
      <alignment horizontal="left" vertical="top" indent="1"/>
    </xf>
    <xf numFmtId="0" fontId="8" fillId="5" borderId="1" xfId="0" applyFont="1" applyFill="1" applyBorder="1" applyAlignment="1">
      <alignment horizontal="left" vertical="top" wrapText="1"/>
    </xf>
    <xf numFmtId="0" fontId="5" fillId="8" borderId="1" xfId="0" applyFont="1" applyFill="1" applyBorder="1" applyAlignment="1">
      <alignment horizontal="left" vertical="top"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24" customWidth="1"/>
    <col min="3" max="3" width="12" customWidth="1"/>
    <col min="4" max="4" width="32" customWidth="1"/>
    <col min="5" max="5" width="18" customWidth="1"/>
    <col min="6" max="6" width="40" customWidth="1"/>
    <col min="7" max="7" width="28" customWidth="1"/>
    <col min="8" max="8" width="20" customWidth="1"/>
    <col min="9" max="9" width="14" customWidth="1"/>
    <col min="10" max="10" width="16" customWidth="1"/>
    <col min="11" max="11" width="44" customWidth="1"/>
    <col min="12" max="12" width="18" customWidth="1"/>
  </cols>
  <sheetData>
    <row r="1" ht="30" customHeight="1" spans="1:12" x14ac:dyDescent="0.25">
      <c r="A1" s="1" t="s">
        <v>0</v>
      </c>
      <c r="B1" s="1"/>
      <c r="C1" s="1"/>
      <c r="D1" s="1"/>
      <c r="E1" s="1"/>
      <c r="F1" s="1"/>
      <c r="G1" s="1"/>
      <c r="H1" s="1"/>
      <c r="I1" s="1"/>
      <c r="J1" s="1"/>
      <c r="K1" s="1"/>
      <c r="L1" s="1"/>
    </row>
    <row r="2" ht="36" customHeight="1" spans="1:12" x14ac:dyDescent="0.25">
      <c r="A2" s="2" t="s">
        <v>1</v>
      </c>
      <c r="B2" s="2" t="s">
        <v>2</v>
      </c>
      <c r="C2" s="2" t="s">
        <v>3</v>
      </c>
      <c r="D2" s="2" t="s">
        <v>4</v>
      </c>
      <c r="E2" s="2" t="s">
        <v>5</v>
      </c>
      <c r="F2" s="2" t="s">
        <v>6</v>
      </c>
      <c r="G2" s="2" t="s">
        <v>7</v>
      </c>
      <c r="H2" s="2" t="s">
        <v>8</v>
      </c>
      <c r="I2" s="2" t="s">
        <v>9</v>
      </c>
      <c r="J2" s="2" t="s">
        <v>10</v>
      </c>
      <c r="K2" s="2" t="s">
        <v>11</v>
      </c>
      <c r="L2" s="2" t="s">
        <v>12</v>
      </c>
    </row>
    <row r="3" ht="20" customHeight="1" spans="1:12" x14ac:dyDescent="0.25">
      <c r="A3" s="3" t="s">
        <v>13</v>
      </c>
      <c r="B3" s="3"/>
      <c r="C3" s="3"/>
      <c r="D3" s="3"/>
      <c r="E3" s="3"/>
      <c r="F3" s="3"/>
      <c r="G3" s="4">
        <f>"Not reviewed: "&amp;COUNTIF(H4:H59,"Not reviewed")&amp;"   |   In review: "&amp;COUNTIF(H4:H59,"In review")&amp;"   |   Decided: "&amp;COUNTIF(H4:H59,"Decided")&amp;"   |   Resolved: "&amp;COUNTIF(H4:H59,"Resolved")</f>
      </c>
      <c r="H3" s="4"/>
      <c r="I3" s="4"/>
      <c r="J3" s="4"/>
      <c r="K3" s="4"/>
      <c r="L3" s="4"/>
    </row>
    <row r="4" ht="18" customHeight="1" spans="1:12" x14ac:dyDescent="0.25">
      <c r="A4" s="5" t="s">
        <v>14</v>
      </c>
      <c r="B4" s="6" t="s">
        <v>15</v>
      </c>
      <c r="C4" s="7" t="s">
        <v>16</v>
      </c>
      <c r="D4" s="8" t="s">
        <v>17</v>
      </c>
      <c r="E4" s="9">
        <v>71964</v>
      </c>
      <c r="F4" s="10" t="s">
        <v>18</v>
      </c>
      <c r="G4" s="8" t="s">
        <v>19</v>
      </c>
      <c r="H4" s="8" t="s">
        <v>20</v>
      </c>
      <c r="I4" s="8" t="s">
        <v>19</v>
      </c>
      <c r="J4" s="8" t="s">
        <v>19</v>
      </c>
      <c r="K4" s="11" t="s">
        <v>19</v>
      </c>
      <c r="L4" s="8" t="s">
        <v>19</v>
      </c>
    </row>
    <row r="5" ht="18" customHeight="1" spans="1:12" x14ac:dyDescent="0.25">
      <c r="A5" s="12" t="s">
        <v>21</v>
      </c>
      <c r="B5" s="13" t="s">
        <v>22</v>
      </c>
      <c r="C5" s="14" t="s">
        <v>16</v>
      </c>
      <c r="D5" s="15" t="s">
        <v>23</v>
      </c>
      <c r="E5" s="16">
        <v>17107</v>
      </c>
      <c r="F5" s="17" t="s">
        <v>24</v>
      </c>
      <c r="G5" s="15" t="s">
        <v>19</v>
      </c>
      <c r="H5" s="15" t="s">
        <v>20</v>
      </c>
      <c r="I5" s="15" t="s">
        <v>19</v>
      </c>
      <c r="J5" s="15" t="s">
        <v>19</v>
      </c>
      <c r="K5" s="18" t="s">
        <v>19</v>
      </c>
      <c r="L5" s="15" t="s">
        <v>19</v>
      </c>
    </row>
    <row r="6" ht="18" customHeight="1" spans="1:12" x14ac:dyDescent="0.25">
      <c r="A6" s="5" t="s">
        <v>21</v>
      </c>
      <c r="B6" s="6" t="s">
        <v>22</v>
      </c>
      <c r="C6" s="7" t="s">
        <v>16</v>
      </c>
      <c r="D6" s="8" t="s">
        <v>25</v>
      </c>
      <c r="E6" s="9">
        <v>10614</v>
      </c>
      <c r="F6" s="10" t="s">
        <v>26</v>
      </c>
      <c r="G6" s="8" t="s">
        <v>19</v>
      </c>
      <c r="H6" s="8" t="s">
        <v>20</v>
      </c>
      <c r="I6" s="8" t="s">
        <v>19</v>
      </c>
      <c r="J6" s="8" t="s">
        <v>19</v>
      </c>
      <c r="K6" s="11" t="s">
        <v>19</v>
      </c>
      <c r="L6" s="8" t="s">
        <v>19</v>
      </c>
    </row>
    <row r="7" ht="18" customHeight="1" spans="1:12" x14ac:dyDescent="0.25">
      <c r="A7" s="12" t="s">
        <v>14</v>
      </c>
      <c r="B7" s="13" t="s">
        <v>15</v>
      </c>
      <c r="C7" s="14" t="s">
        <v>16</v>
      </c>
      <c r="D7" s="15" t="s">
        <v>27</v>
      </c>
      <c r="E7" s="16">
        <v>6863</v>
      </c>
      <c r="F7" s="17" t="s">
        <v>28</v>
      </c>
      <c r="G7" s="15" t="s">
        <v>19</v>
      </c>
      <c r="H7" s="15" t="s">
        <v>20</v>
      </c>
      <c r="I7" s="15" t="s">
        <v>19</v>
      </c>
      <c r="J7" s="15" t="s">
        <v>19</v>
      </c>
      <c r="K7" s="18" t="s">
        <v>19</v>
      </c>
      <c r="L7" s="15" t="s">
        <v>19</v>
      </c>
    </row>
    <row r="8" ht="18" customHeight="1" spans="1:12" x14ac:dyDescent="0.25">
      <c r="A8" s="5" t="s">
        <v>14</v>
      </c>
      <c r="B8" s="6" t="s">
        <v>15</v>
      </c>
      <c r="C8" s="7" t="s">
        <v>16</v>
      </c>
      <c r="D8" s="8" t="s">
        <v>29</v>
      </c>
      <c r="E8" s="9">
        <v>2553</v>
      </c>
      <c r="F8" s="10" t="s">
        <v>30</v>
      </c>
      <c r="G8" s="8" t="s">
        <v>19</v>
      </c>
      <c r="H8" s="8" t="s">
        <v>20</v>
      </c>
      <c r="I8" s="8" t="s">
        <v>19</v>
      </c>
      <c r="J8" s="8" t="s">
        <v>19</v>
      </c>
      <c r="K8" s="11" t="s">
        <v>19</v>
      </c>
      <c r="L8" s="8" t="s">
        <v>19</v>
      </c>
    </row>
    <row r="9" ht="18" customHeight="1" spans="1:12" x14ac:dyDescent="0.25">
      <c r="A9" s="12" t="s">
        <v>14</v>
      </c>
      <c r="B9" s="13" t="s">
        <v>15</v>
      </c>
      <c r="C9" s="14" t="s">
        <v>16</v>
      </c>
      <c r="D9" s="15" t="s">
        <v>31</v>
      </c>
      <c r="E9" s="16">
        <v>1462</v>
      </c>
      <c r="F9" s="17" t="s">
        <v>32</v>
      </c>
      <c r="G9" s="15" t="s">
        <v>19</v>
      </c>
      <c r="H9" s="15" t="s">
        <v>20</v>
      </c>
      <c r="I9" s="15" t="s">
        <v>19</v>
      </c>
      <c r="J9" s="15" t="s">
        <v>19</v>
      </c>
      <c r="K9" s="18" t="s">
        <v>19</v>
      </c>
      <c r="L9" s="15" t="s">
        <v>19</v>
      </c>
    </row>
    <row r="10" ht="18" customHeight="1" spans="1:12" x14ac:dyDescent="0.25">
      <c r="A10" s="5" t="s">
        <v>21</v>
      </c>
      <c r="B10" s="6" t="s">
        <v>22</v>
      </c>
      <c r="C10" s="7" t="s">
        <v>16</v>
      </c>
      <c r="D10" s="8" t="s">
        <v>33</v>
      </c>
      <c r="E10" s="9">
        <v>1089</v>
      </c>
      <c r="F10" s="10" t="s">
        <v>34</v>
      </c>
      <c r="G10" s="8" t="s">
        <v>19</v>
      </c>
      <c r="H10" s="8" t="s">
        <v>20</v>
      </c>
      <c r="I10" s="8" t="s">
        <v>19</v>
      </c>
      <c r="J10" s="8" t="s">
        <v>19</v>
      </c>
      <c r="K10" s="11" t="s">
        <v>19</v>
      </c>
      <c r="L10" s="8" t="s">
        <v>19</v>
      </c>
    </row>
    <row r="11" ht="18" customHeight="1" spans="1:12" x14ac:dyDescent="0.25">
      <c r="A11" s="12" t="s">
        <v>35</v>
      </c>
      <c r="B11" s="13" t="s">
        <v>36</v>
      </c>
      <c r="C11" s="14" t="s">
        <v>16</v>
      </c>
      <c r="D11" s="15" t="s">
        <v>37</v>
      </c>
      <c r="E11" s="16">
        <v>625</v>
      </c>
      <c r="F11" s="17" t="s">
        <v>38</v>
      </c>
      <c r="G11" s="15" t="s">
        <v>19</v>
      </c>
      <c r="H11" s="15" t="s">
        <v>20</v>
      </c>
      <c r="I11" s="15" t="s">
        <v>19</v>
      </c>
      <c r="J11" s="15" t="s">
        <v>19</v>
      </c>
      <c r="K11" s="18" t="s">
        <v>19</v>
      </c>
      <c r="L11" s="15" t="s">
        <v>19</v>
      </c>
    </row>
    <row r="12" ht="18" customHeight="1" spans="1:12" x14ac:dyDescent="0.25">
      <c r="A12" s="5" t="s">
        <v>14</v>
      </c>
      <c r="B12" s="6" t="s">
        <v>15</v>
      </c>
      <c r="C12" s="7" t="s">
        <v>16</v>
      </c>
      <c r="D12" s="8" t="s">
        <v>39</v>
      </c>
      <c r="E12" s="9">
        <v>452</v>
      </c>
      <c r="F12" s="10" t="s">
        <v>40</v>
      </c>
      <c r="G12" s="8" t="s">
        <v>19</v>
      </c>
      <c r="H12" s="8" t="s">
        <v>20</v>
      </c>
      <c r="I12" s="8" t="s">
        <v>19</v>
      </c>
      <c r="J12" s="8" t="s">
        <v>19</v>
      </c>
      <c r="K12" s="11" t="s">
        <v>19</v>
      </c>
      <c r="L12" s="8" t="s">
        <v>19</v>
      </c>
    </row>
    <row r="13" ht="18" customHeight="1" spans="1:12" x14ac:dyDescent="0.25">
      <c r="A13" s="12" t="s">
        <v>41</v>
      </c>
      <c r="B13" s="13" t="s">
        <v>42</v>
      </c>
      <c r="C13" s="14" t="s">
        <v>16</v>
      </c>
      <c r="D13" s="15" t="s">
        <v>25</v>
      </c>
      <c r="E13" s="16">
        <v>442</v>
      </c>
      <c r="F13" s="17" t="s">
        <v>43</v>
      </c>
      <c r="G13" s="15" t="s">
        <v>19</v>
      </c>
      <c r="H13" s="15" t="s">
        <v>20</v>
      </c>
      <c r="I13" s="15" t="s">
        <v>19</v>
      </c>
      <c r="J13" s="15" t="s">
        <v>19</v>
      </c>
      <c r="K13" s="18" t="s">
        <v>19</v>
      </c>
      <c r="L13" s="15" t="s">
        <v>19</v>
      </c>
    </row>
    <row r="14" ht="18" customHeight="1" spans="1:12" x14ac:dyDescent="0.25">
      <c r="A14" s="5" t="s">
        <v>44</v>
      </c>
      <c r="B14" s="6" t="s">
        <v>45</v>
      </c>
      <c r="C14" s="7" t="s">
        <v>16</v>
      </c>
      <c r="D14" s="8" t="s">
        <v>46</v>
      </c>
      <c r="E14" s="9">
        <v>335</v>
      </c>
      <c r="F14" s="10" t="s">
        <v>47</v>
      </c>
      <c r="G14" s="8" t="s">
        <v>19</v>
      </c>
      <c r="H14" s="8" t="s">
        <v>20</v>
      </c>
      <c r="I14" s="8" t="s">
        <v>19</v>
      </c>
      <c r="J14" s="8" t="s">
        <v>19</v>
      </c>
      <c r="K14" s="11" t="s">
        <v>19</v>
      </c>
      <c r="L14" s="8" t="s">
        <v>19</v>
      </c>
    </row>
    <row r="15" ht="18" customHeight="1" spans="1:12" x14ac:dyDescent="0.25">
      <c r="A15" s="12" t="s">
        <v>35</v>
      </c>
      <c r="B15" s="13" t="s">
        <v>36</v>
      </c>
      <c r="C15" s="14" t="s">
        <v>16</v>
      </c>
      <c r="D15" s="15" t="s">
        <v>39</v>
      </c>
      <c r="E15" s="16">
        <v>234</v>
      </c>
      <c r="F15" s="17" t="s">
        <v>48</v>
      </c>
      <c r="G15" s="15" t="s">
        <v>19</v>
      </c>
      <c r="H15" s="15" t="s">
        <v>20</v>
      </c>
      <c r="I15" s="15" t="s">
        <v>19</v>
      </c>
      <c r="J15" s="15" t="s">
        <v>19</v>
      </c>
      <c r="K15" s="18" t="s">
        <v>19</v>
      </c>
      <c r="L15" s="15" t="s">
        <v>19</v>
      </c>
    </row>
    <row r="16" ht="18" customHeight="1" spans="1:12" x14ac:dyDescent="0.25">
      <c r="A16" s="5" t="s">
        <v>49</v>
      </c>
      <c r="B16" s="6" t="s">
        <v>50</v>
      </c>
      <c r="C16" s="7" t="s">
        <v>16</v>
      </c>
      <c r="D16" s="8" t="s">
        <v>51</v>
      </c>
      <c r="E16" s="9">
        <v>129</v>
      </c>
      <c r="F16" s="10" t="s">
        <v>52</v>
      </c>
      <c r="G16" s="8" t="s">
        <v>19</v>
      </c>
      <c r="H16" s="8" t="s">
        <v>20</v>
      </c>
      <c r="I16" s="8" t="s">
        <v>19</v>
      </c>
      <c r="J16" s="8" t="s">
        <v>19</v>
      </c>
      <c r="K16" s="11" t="s">
        <v>19</v>
      </c>
      <c r="L16" s="8" t="s">
        <v>19</v>
      </c>
    </row>
    <row r="17" ht="18" customHeight="1" spans="1:12" x14ac:dyDescent="0.25">
      <c r="A17" s="12" t="s">
        <v>53</v>
      </c>
      <c r="B17" s="13" t="s">
        <v>54</v>
      </c>
      <c r="C17" s="14" t="s">
        <v>16</v>
      </c>
      <c r="D17" s="15" t="s">
        <v>55</v>
      </c>
      <c r="E17" s="16">
        <v>102</v>
      </c>
      <c r="F17" s="17" t="s">
        <v>56</v>
      </c>
      <c r="G17" s="15" t="s">
        <v>19</v>
      </c>
      <c r="H17" s="15" t="s">
        <v>20</v>
      </c>
      <c r="I17" s="15" t="s">
        <v>19</v>
      </c>
      <c r="J17" s="15" t="s">
        <v>19</v>
      </c>
      <c r="K17" s="18" t="s">
        <v>19</v>
      </c>
      <c r="L17" s="15" t="s">
        <v>19</v>
      </c>
    </row>
    <row r="18" ht="18" customHeight="1" spans="1:12" x14ac:dyDescent="0.25">
      <c r="A18" s="5" t="s">
        <v>57</v>
      </c>
      <c r="B18" s="6" t="s">
        <v>58</v>
      </c>
      <c r="C18" s="7" t="s">
        <v>16</v>
      </c>
      <c r="D18" s="8" t="s">
        <v>39</v>
      </c>
      <c r="E18" s="9">
        <v>80</v>
      </c>
      <c r="F18" s="10" t="s">
        <v>59</v>
      </c>
      <c r="G18" s="8" t="s">
        <v>19</v>
      </c>
      <c r="H18" s="8" t="s">
        <v>20</v>
      </c>
      <c r="I18" s="8" t="s">
        <v>19</v>
      </c>
      <c r="J18" s="8" t="s">
        <v>19</v>
      </c>
      <c r="K18" s="11" t="s">
        <v>19</v>
      </c>
      <c r="L18" s="8" t="s">
        <v>19</v>
      </c>
    </row>
    <row r="19" ht="18" customHeight="1" spans="1:12" x14ac:dyDescent="0.25">
      <c r="A19" s="12" t="s">
        <v>41</v>
      </c>
      <c r="B19" s="13" t="s">
        <v>42</v>
      </c>
      <c r="C19" s="14" t="s">
        <v>16</v>
      </c>
      <c r="D19" s="15" t="s">
        <v>60</v>
      </c>
      <c r="E19" s="16">
        <v>73</v>
      </c>
      <c r="F19" s="17" t="s">
        <v>61</v>
      </c>
      <c r="G19" s="15" t="s">
        <v>19</v>
      </c>
      <c r="H19" s="15" t="s">
        <v>20</v>
      </c>
      <c r="I19" s="15" t="s">
        <v>19</v>
      </c>
      <c r="J19" s="15" t="s">
        <v>19</v>
      </c>
      <c r="K19" s="18" t="s">
        <v>19</v>
      </c>
      <c r="L19" s="15" t="s">
        <v>19</v>
      </c>
    </row>
    <row r="20" ht="18" customHeight="1" spans="1:12" x14ac:dyDescent="0.25">
      <c r="A20" s="5" t="s">
        <v>14</v>
      </c>
      <c r="B20" s="6" t="s">
        <v>15</v>
      </c>
      <c r="C20" s="7" t="s">
        <v>16</v>
      </c>
      <c r="D20" s="8" t="s">
        <v>62</v>
      </c>
      <c r="E20" s="9">
        <v>69</v>
      </c>
      <c r="F20" s="10" t="s">
        <v>63</v>
      </c>
      <c r="G20" s="8" t="s">
        <v>19</v>
      </c>
      <c r="H20" s="8" t="s">
        <v>20</v>
      </c>
      <c r="I20" s="8" t="s">
        <v>19</v>
      </c>
      <c r="J20" s="8" t="s">
        <v>19</v>
      </c>
      <c r="K20" s="11" t="s">
        <v>19</v>
      </c>
      <c r="L20" s="8" t="s">
        <v>19</v>
      </c>
    </row>
    <row r="21" ht="18" customHeight="1" spans="1:12" x14ac:dyDescent="0.25">
      <c r="A21" s="12" t="s">
        <v>35</v>
      </c>
      <c r="B21" s="13" t="s">
        <v>36</v>
      </c>
      <c r="C21" s="14" t="s">
        <v>16</v>
      </c>
      <c r="D21" s="15" t="s">
        <v>27</v>
      </c>
      <c r="E21" s="16">
        <v>54</v>
      </c>
      <c r="F21" s="17" t="s">
        <v>64</v>
      </c>
      <c r="G21" s="15" t="s">
        <v>19</v>
      </c>
      <c r="H21" s="15" t="s">
        <v>20</v>
      </c>
      <c r="I21" s="15" t="s">
        <v>19</v>
      </c>
      <c r="J21" s="15" t="s">
        <v>19</v>
      </c>
      <c r="K21" s="18" t="s">
        <v>19</v>
      </c>
      <c r="L21" s="15" t="s">
        <v>19</v>
      </c>
    </row>
    <row r="22" ht="18" customHeight="1" spans="1:12" x14ac:dyDescent="0.25">
      <c r="A22" s="5" t="s">
        <v>65</v>
      </c>
      <c r="B22" s="6" t="s">
        <v>66</v>
      </c>
      <c r="C22" s="7" t="s">
        <v>16</v>
      </c>
      <c r="D22" s="8" t="s">
        <v>67</v>
      </c>
      <c r="E22" s="9">
        <v>42</v>
      </c>
      <c r="F22" s="10" t="s">
        <v>68</v>
      </c>
      <c r="G22" s="8" t="s">
        <v>19</v>
      </c>
      <c r="H22" s="8" t="s">
        <v>20</v>
      </c>
      <c r="I22" s="8" t="s">
        <v>19</v>
      </c>
      <c r="J22" s="8" t="s">
        <v>19</v>
      </c>
      <c r="K22" s="11" t="s">
        <v>19</v>
      </c>
      <c r="L22" s="8" t="s">
        <v>19</v>
      </c>
    </row>
    <row r="23" ht="18" customHeight="1" spans="1:12" x14ac:dyDescent="0.25">
      <c r="A23" s="12" t="s">
        <v>14</v>
      </c>
      <c r="B23" s="13" t="s">
        <v>15</v>
      </c>
      <c r="C23" s="14" t="s">
        <v>16</v>
      </c>
      <c r="D23" s="15" t="s">
        <v>69</v>
      </c>
      <c r="E23" s="16">
        <v>41</v>
      </c>
      <c r="F23" s="17" t="s">
        <v>70</v>
      </c>
      <c r="G23" s="15" t="s">
        <v>19</v>
      </c>
      <c r="H23" s="15" t="s">
        <v>20</v>
      </c>
      <c r="I23" s="15" t="s">
        <v>19</v>
      </c>
      <c r="J23" s="15" t="s">
        <v>19</v>
      </c>
      <c r="K23" s="18" t="s">
        <v>19</v>
      </c>
      <c r="L23" s="15" t="s">
        <v>19</v>
      </c>
    </row>
    <row r="24" ht="18" customHeight="1" spans="1:12" x14ac:dyDescent="0.25">
      <c r="A24" s="5" t="s">
        <v>53</v>
      </c>
      <c r="B24" s="6" t="s">
        <v>54</v>
      </c>
      <c r="C24" s="7" t="s">
        <v>16</v>
      </c>
      <c r="D24" s="8" t="s">
        <v>71</v>
      </c>
      <c r="E24" s="9">
        <v>40</v>
      </c>
      <c r="F24" s="10" t="s">
        <v>72</v>
      </c>
      <c r="G24" s="8" t="s">
        <v>19</v>
      </c>
      <c r="H24" s="8" t="s">
        <v>20</v>
      </c>
      <c r="I24" s="8" t="s">
        <v>19</v>
      </c>
      <c r="J24" s="8" t="s">
        <v>19</v>
      </c>
      <c r="K24" s="11" t="s">
        <v>19</v>
      </c>
      <c r="L24" s="8" t="s">
        <v>19</v>
      </c>
    </row>
    <row r="25" ht="18" customHeight="1" spans="1:12" x14ac:dyDescent="0.25">
      <c r="A25" s="12" t="s">
        <v>44</v>
      </c>
      <c r="B25" s="13" t="s">
        <v>45</v>
      </c>
      <c r="C25" s="14" t="s">
        <v>16</v>
      </c>
      <c r="D25" s="15" t="s">
        <v>73</v>
      </c>
      <c r="E25" s="16">
        <v>26</v>
      </c>
      <c r="F25" s="17" t="s">
        <v>74</v>
      </c>
      <c r="G25" s="15" t="s">
        <v>19</v>
      </c>
      <c r="H25" s="15" t="s">
        <v>20</v>
      </c>
      <c r="I25" s="15" t="s">
        <v>19</v>
      </c>
      <c r="J25" s="15" t="s">
        <v>19</v>
      </c>
      <c r="K25" s="18" t="s">
        <v>19</v>
      </c>
      <c r="L25" s="15" t="s">
        <v>19</v>
      </c>
    </row>
    <row r="26" ht="18" customHeight="1" spans="1:12" x14ac:dyDescent="0.25">
      <c r="A26" s="5" t="s">
        <v>35</v>
      </c>
      <c r="B26" s="6" t="s">
        <v>36</v>
      </c>
      <c r="C26" s="7" t="s">
        <v>16</v>
      </c>
      <c r="D26" s="8" t="s">
        <v>17</v>
      </c>
      <c r="E26" s="9">
        <v>22</v>
      </c>
      <c r="F26" s="10" t="s">
        <v>75</v>
      </c>
      <c r="G26" s="8" t="s">
        <v>19</v>
      </c>
      <c r="H26" s="8" t="s">
        <v>20</v>
      </c>
      <c r="I26" s="8" t="s">
        <v>19</v>
      </c>
      <c r="J26" s="8" t="s">
        <v>19</v>
      </c>
      <c r="K26" s="11" t="s">
        <v>19</v>
      </c>
      <c r="L26" s="8" t="s">
        <v>19</v>
      </c>
    </row>
    <row r="27" ht="18" customHeight="1" spans="1:12" x14ac:dyDescent="0.25">
      <c r="A27" s="12" t="s">
        <v>21</v>
      </c>
      <c r="B27" s="13" t="s">
        <v>22</v>
      </c>
      <c r="C27" s="14" t="s">
        <v>16</v>
      </c>
      <c r="D27" s="15" t="s">
        <v>76</v>
      </c>
      <c r="E27" s="16">
        <v>21</v>
      </c>
      <c r="F27" s="17" t="s">
        <v>77</v>
      </c>
      <c r="G27" s="15" t="s">
        <v>19</v>
      </c>
      <c r="H27" s="15" t="s">
        <v>20</v>
      </c>
      <c r="I27" s="15" t="s">
        <v>19</v>
      </c>
      <c r="J27" s="15" t="s">
        <v>19</v>
      </c>
      <c r="K27" s="18" t="s">
        <v>19</v>
      </c>
      <c r="L27" s="15" t="s">
        <v>19</v>
      </c>
    </row>
    <row r="28" ht="18" customHeight="1" spans="1:12" x14ac:dyDescent="0.25">
      <c r="A28" s="5" t="s">
        <v>14</v>
      </c>
      <c r="B28" s="6" t="s">
        <v>15</v>
      </c>
      <c r="C28" s="7" t="s">
        <v>16</v>
      </c>
      <c r="D28" s="8" t="s">
        <v>78</v>
      </c>
      <c r="E28" s="9">
        <v>16</v>
      </c>
      <c r="F28" s="10" t="s">
        <v>79</v>
      </c>
      <c r="G28" s="8" t="s">
        <v>19</v>
      </c>
      <c r="H28" s="8" t="s">
        <v>20</v>
      </c>
      <c r="I28" s="8" t="s">
        <v>19</v>
      </c>
      <c r="J28" s="8" t="s">
        <v>19</v>
      </c>
      <c r="K28" s="11" t="s">
        <v>19</v>
      </c>
      <c r="L28" s="8" t="s">
        <v>19</v>
      </c>
    </row>
    <row r="29" ht="18" customHeight="1" spans="1:12" x14ac:dyDescent="0.25">
      <c r="A29" s="12" t="s">
        <v>21</v>
      </c>
      <c r="B29" s="13" t="s">
        <v>22</v>
      </c>
      <c r="C29" s="14" t="s">
        <v>16</v>
      </c>
      <c r="D29" s="15" t="s">
        <v>80</v>
      </c>
      <c r="E29" s="16">
        <v>9</v>
      </c>
      <c r="F29" s="17" t="s">
        <v>81</v>
      </c>
      <c r="G29" s="15" t="s">
        <v>19</v>
      </c>
      <c r="H29" s="15" t="s">
        <v>20</v>
      </c>
      <c r="I29" s="15" t="s">
        <v>19</v>
      </c>
      <c r="J29" s="15" t="s">
        <v>19</v>
      </c>
      <c r="K29" s="18" t="s">
        <v>19</v>
      </c>
      <c r="L29" s="15" t="s">
        <v>19</v>
      </c>
    </row>
    <row r="30" ht="18" customHeight="1" spans="1:12" x14ac:dyDescent="0.25">
      <c r="A30" s="5" t="s">
        <v>65</v>
      </c>
      <c r="B30" s="6" t="s">
        <v>66</v>
      </c>
      <c r="C30" s="7" t="s">
        <v>16</v>
      </c>
      <c r="D30" s="8" t="s">
        <v>82</v>
      </c>
      <c r="E30" s="9">
        <v>7</v>
      </c>
      <c r="F30" s="10" t="s">
        <v>83</v>
      </c>
      <c r="G30" s="8" t="s">
        <v>19</v>
      </c>
      <c r="H30" s="8" t="s">
        <v>20</v>
      </c>
      <c r="I30" s="8" t="s">
        <v>19</v>
      </c>
      <c r="J30" s="8" t="s">
        <v>19</v>
      </c>
      <c r="K30" s="11" t="s">
        <v>19</v>
      </c>
      <c r="L30" s="8" t="s">
        <v>19</v>
      </c>
    </row>
    <row r="31" ht="18" customHeight="1" spans="1:12" x14ac:dyDescent="0.25">
      <c r="A31" s="12" t="s">
        <v>41</v>
      </c>
      <c r="B31" s="13" t="s">
        <v>42</v>
      </c>
      <c r="C31" s="14" t="s">
        <v>16</v>
      </c>
      <c r="D31" s="15" t="s">
        <v>76</v>
      </c>
      <c r="E31" s="16">
        <v>7</v>
      </c>
      <c r="F31" s="17" t="s">
        <v>83</v>
      </c>
      <c r="G31" s="15" t="s">
        <v>19</v>
      </c>
      <c r="H31" s="15" t="s">
        <v>20</v>
      </c>
      <c r="I31" s="15" t="s">
        <v>19</v>
      </c>
      <c r="J31" s="15" t="s">
        <v>19</v>
      </c>
      <c r="K31" s="18" t="s">
        <v>19</v>
      </c>
      <c r="L31" s="15" t="s">
        <v>19</v>
      </c>
    </row>
    <row r="32" ht="18" customHeight="1" spans="1:12" x14ac:dyDescent="0.25">
      <c r="A32" s="5" t="s">
        <v>65</v>
      </c>
      <c r="B32" s="6" t="s">
        <v>66</v>
      </c>
      <c r="C32" s="7" t="s">
        <v>16</v>
      </c>
      <c r="D32" s="8" t="s">
        <v>84</v>
      </c>
      <c r="E32" s="9">
        <v>6</v>
      </c>
      <c r="F32" s="10" t="s">
        <v>85</v>
      </c>
      <c r="G32" s="8" t="s">
        <v>19</v>
      </c>
      <c r="H32" s="8" t="s">
        <v>20</v>
      </c>
      <c r="I32" s="8" t="s">
        <v>19</v>
      </c>
      <c r="J32" s="8" t="s">
        <v>19</v>
      </c>
      <c r="K32" s="11" t="s">
        <v>19</v>
      </c>
      <c r="L32" s="8" t="s">
        <v>19</v>
      </c>
    </row>
    <row r="33" ht="18" customHeight="1" spans="1:12" x14ac:dyDescent="0.25">
      <c r="A33" s="12" t="s">
        <v>41</v>
      </c>
      <c r="B33" s="13" t="s">
        <v>42</v>
      </c>
      <c r="C33" s="14" t="s">
        <v>16</v>
      </c>
      <c r="D33" s="15" t="s">
        <v>86</v>
      </c>
      <c r="E33" s="16">
        <v>5</v>
      </c>
      <c r="F33" s="17" t="s">
        <v>87</v>
      </c>
      <c r="G33" s="15" t="s">
        <v>19</v>
      </c>
      <c r="H33" s="15" t="s">
        <v>20</v>
      </c>
      <c r="I33" s="15" t="s">
        <v>19</v>
      </c>
      <c r="J33" s="15" t="s">
        <v>19</v>
      </c>
      <c r="K33" s="18" t="s">
        <v>19</v>
      </c>
      <c r="L33" s="15" t="s">
        <v>19</v>
      </c>
    </row>
    <row r="34" ht="18" customHeight="1" spans="1:12" x14ac:dyDescent="0.25">
      <c r="A34" s="5" t="s">
        <v>57</v>
      </c>
      <c r="B34" s="6" t="s">
        <v>58</v>
      </c>
      <c r="C34" s="7" t="s">
        <v>16</v>
      </c>
      <c r="D34" s="8" t="s">
        <v>88</v>
      </c>
      <c r="E34" s="9">
        <v>4</v>
      </c>
      <c r="F34" s="10" t="s">
        <v>89</v>
      </c>
      <c r="G34" s="8" t="s">
        <v>19</v>
      </c>
      <c r="H34" s="8" t="s">
        <v>20</v>
      </c>
      <c r="I34" s="8" t="s">
        <v>19</v>
      </c>
      <c r="J34" s="8" t="s">
        <v>19</v>
      </c>
      <c r="K34" s="11" t="s">
        <v>19</v>
      </c>
      <c r="L34" s="8" t="s">
        <v>19</v>
      </c>
    </row>
    <row r="35" ht="18" customHeight="1" spans="1:12" x14ac:dyDescent="0.25">
      <c r="A35" s="12" t="s">
        <v>21</v>
      </c>
      <c r="B35" s="13" t="s">
        <v>22</v>
      </c>
      <c r="C35" s="14" t="s">
        <v>16</v>
      </c>
      <c r="D35" s="15" t="s">
        <v>90</v>
      </c>
      <c r="E35" s="16">
        <v>4</v>
      </c>
      <c r="F35" s="17" t="s">
        <v>91</v>
      </c>
      <c r="G35" s="15" t="s">
        <v>19</v>
      </c>
      <c r="H35" s="15" t="s">
        <v>20</v>
      </c>
      <c r="I35" s="15" t="s">
        <v>19</v>
      </c>
      <c r="J35" s="15" t="s">
        <v>19</v>
      </c>
      <c r="K35" s="18" t="s">
        <v>19</v>
      </c>
      <c r="L35" s="15" t="s">
        <v>19</v>
      </c>
    </row>
    <row r="36" ht="18" customHeight="1" spans="1:12" x14ac:dyDescent="0.25">
      <c r="A36" s="5" t="s">
        <v>35</v>
      </c>
      <c r="B36" s="6" t="s">
        <v>36</v>
      </c>
      <c r="C36" s="7" t="s">
        <v>16</v>
      </c>
      <c r="D36" s="8" t="s">
        <v>78</v>
      </c>
      <c r="E36" s="9">
        <v>3</v>
      </c>
      <c r="F36" s="10" t="s">
        <v>92</v>
      </c>
      <c r="G36" s="8" t="s">
        <v>19</v>
      </c>
      <c r="H36" s="8" t="s">
        <v>20</v>
      </c>
      <c r="I36" s="8" t="s">
        <v>19</v>
      </c>
      <c r="J36" s="8" t="s">
        <v>19</v>
      </c>
      <c r="K36" s="11" t="s">
        <v>19</v>
      </c>
      <c r="L36" s="8" t="s">
        <v>19</v>
      </c>
    </row>
    <row r="37" ht="18" customHeight="1" spans="1:12" x14ac:dyDescent="0.25">
      <c r="A37" s="12" t="s">
        <v>35</v>
      </c>
      <c r="B37" s="13" t="s">
        <v>36</v>
      </c>
      <c r="C37" s="14" t="s">
        <v>16</v>
      </c>
      <c r="D37" s="15" t="s">
        <v>93</v>
      </c>
      <c r="E37" s="16">
        <v>3</v>
      </c>
      <c r="F37" s="17" t="s">
        <v>92</v>
      </c>
      <c r="G37" s="15" t="s">
        <v>19</v>
      </c>
      <c r="H37" s="15" t="s">
        <v>20</v>
      </c>
      <c r="I37" s="15" t="s">
        <v>19</v>
      </c>
      <c r="J37" s="15" t="s">
        <v>19</v>
      </c>
      <c r="K37" s="18" t="s">
        <v>19</v>
      </c>
      <c r="L37" s="15" t="s">
        <v>19</v>
      </c>
    </row>
    <row r="38" ht="18" customHeight="1" spans="1:12" x14ac:dyDescent="0.25">
      <c r="A38" s="5" t="s">
        <v>53</v>
      </c>
      <c r="B38" s="6" t="s">
        <v>54</v>
      </c>
      <c r="C38" s="7" t="s">
        <v>16</v>
      </c>
      <c r="D38" s="8" t="s">
        <v>94</v>
      </c>
      <c r="E38" s="9">
        <v>3</v>
      </c>
      <c r="F38" s="10" t="s">
        <v>95</v>
      </c>
      <c r="G38" s="8" t="s">
        <v>19</v>
      </c>
      <c r="H38" s="8" t="s">
        <v>20</v>
      </c>
      <c r="I38" s="8" t="s">
        <v>19</v>
      </c>
      <c r="J38" s="8" t="s">
        <v>19</v>
      </c>
      <c r="K38" s="11" t="s">
        <v>19</v>
      </c>
      <c r="L38" s="8" t="s">
        <v>19</v>
      </c>
    </row>
    <row r="39" ht="18" customHeight="1" spans="1:12" x14ac:dyDescent="0.25">
      <c r="A39" s="12" t="s">
        <v>53</v>
      </c>
      <c r="B39" s="13" t="s">
        <v>54</v>
      </c>
      <c r="C39" s="14" t="s">
        <v>16</v>
      </c>
      <c r="D39" s="15" t="s">
        <v>96</v>
      </c>
      <c r="E39" s="16">
        <v>3</v>
      </c>
      <c r="F39" s="17" t="s">
        <v>95</v>
      </c>
      <c r="G39" s="15" t="s">
        <v>19</v>
      </c>
      <c r="H39" s="15" t="s">
        <v>20</v>
      </c>
      <c r="I39" s="15" t="s">
        <v>19</v>
      </c>
      <c r="J39" s="15" t="s">
        <v>19</v>
      </c>
      <c r="K39" s="18" t="s">
        <v>19</v>
      </c>
      <c r="L39" s="15" t="s">
        <v>19</v>
      </c>
    </row>
    <row r="40" ht="18" customHeight="1" spans="1:12" x14ac:dyDescent="0.25">
      <c r="A40" s="5" t="s">
        <v>97</v>
      </c>
      <c r="B40" s="6" t="s">
        <v>98</v>
      </c>
      <c r="C40" s="7" t="s">
        <v>16</v>
      </c>
      <c r="D40" s="8" t="s">
        <v>99</v>
      </c>
      <c r="E40" s="9">
        <v>2</v>
      </c>
      <c r="F40" s="10" t="s">
        <v>100</v>
      </c>
      <c r="G40" s="8" t="s">
        <v>19</v>
      </c>
      <c r="H40" s="8" t="s">
        <v>20</v>
      </c>
      <c r="I40" s="8" t="s">
        <v>19</v>
      </c>
      <c r="J40" s="8" t="s">
        <v>19</v>
      </c>
      <c r="K40" s="11" t="s">
        <v>19</v>
      </c>
      <c r="L40" s="8" t="s">
        <v>19</v>
      </c>
    </row>
    <row r="41" ht="18" customHeight="1" spans="1:12" x14ac:dyDescent="0.25">
      <c r="A41" s="12" t="s">
        <v>101</v>
      </c>
      <c r="B41" s="13" t="s">
        <v>102</v>
      </c>
      <c r="C41" s="14" t="s">
        <v>16</v>
      </c>
      <c r="D41" s="15" t="s">
        <v>103</v>
      </c>
      <c r="E41" s="16">
        <v>2</v>
      </c>
      <c r="F41" s="17" t="s">
        <v>104</v>
      </c>
      <c r="G41" s="15" t="s">
        <v>19</v>
      </c>
      <c r="H41" s="15" t="s">
        <v>20</v>
      </c>
      <c r="I41" s="15" t="s">
        <v>19</v>
      </c>
      <c r="J41" s="15" t="s">
        <v>19</v>
      </c>
      <c r="K41" s="18" t="s">
        <v>19</v>
      </c>
      <c r="L41" s="15" t="s">
        <v>19</v>
      </c>
    </row>
    <row r="42" ht="18" customHeight="1" spans="1:12" x14ac:dyDescent="0.25">
      <c r="A42" s="5" t="s">
        <v>105</v>
      </c>
      <c r="B42" s="6" t="s">
        <v>106</v>
      </c>
      <c r="C42" s="7" t="s">
        <v>16</v>
      </c>
      <c r="D42" s="8" t="s">
        <v>107</v>
      </c>
      <c r="E42" s="9">
        <v>2</v>
      </c>
      <c r="F42" s="10" t="s">
        <v>104</v>
      </c>
      <c r="G42" s="8" t="s">
        <v>19</v>
      </c>
      <c r="H42" s="8" t="s">
        <v>20</v>
      </c>
      <c r="I42" s="8" t="s">
        <v>19</v>
      </c>
      <c r="J42" s="8" t="s">
        <v>19</v>
      </c>
      <c r="K42" s="11" t="s">
        <v>19</v>
      </c>
      <c r="L42" s="8" t="s">
        <v>19</v>
      </c>
    </row>
    <row r="43" ht="18" customHeight="1" spans="1:12" x14ac:dyDescent="0.25">
      <c r="A43" s="12" t="s">
        <v>65</v>
      </c>
      <c r="B43" s="13" t="s">
        <v>66</v>
      </c>
      <c r="C43" s="14" t="s">
        <v>16</v>
      </c>
      <c r="D43" s="15" t="s">
        <v>108</v>
      </c>
      <c r="E43" s="16">
        <v>2</v>
      </c>
      <c r="F43" s="17" t="s">
        <v>104</v>
      </c>
      <c r="G43" s="15" t="s">
        <v>19</v>
      </c>
      <c r="H43" s="15" t="s">
        <v>20</v>
      </c>
      <c r="I43" s="15" t="s">
        <v>19</v>
      </c>
      <c r="J43" s="15" t="s">
        <v>19</v>
      </c>
      <c r="K43" s="18" t="s">
        <v>19</v>
      </c>
      <c r="L43" s="15" t="s">
        <v>19</v>
      </c>
    </row>
    <row r="44" ht="18" customHeight="1" spans="1:12" x14ac:dyDescent="0.25">
      <c r="A44" s="5" t="s">
        <v>35</v>
      </c>
      <c r="B44" s="6" t="s">
        <v>36</v>
      </c>
      <c r="C44" s="7" t="s">
        <v>16</v>
      </c>
      <c r="D44" s="8" t="s">
        <v>109</v>
      </c>
      <c r="E44" s="9">
        <v>2</v>
      </c>
      <c r="F44" s="10" t="s">
        <v>110</v>
      </c>
      <c r="G44" s="8" t="s">
        <v>19</v>
      </c>
      <c r="H44" s="8" t="s">
        <v>20</v>
      </c>
      <c r="I44" s="8" t="s">
        <v>19</v>
      </c>
      <c r="J44" s="8" t="s">
        <v>19</v>
      </c>
      <c r="K44" s="11" t="s">
        <v>19</v>
      </c>
      <c r="L44" s="8" t="s">
        <v>19</v>
      </c>
    </row>
    <row r="45" ht="18" customHeight="1" spans="1:12" x14ac:dyDescent="0.25">
      <c r="A45" s="12" t="s">
        <v>105</v>
      </c>
      <c r="B45" s="13" t="s">
        <v>106</v>
      </c>
      <c r="C45" s="14" t="s">
        <v>16</v>
      </c>
      <c r="D45" s="15" t="s">
        <v>111</v>
      </c>
      <c r="E45" s="16">
        <v>1</v>
      </c>
      <c r="F45" s="17" t="s">
        <v>112</v>
      </c>
      <c r="G45" s="15" t="s">
        <v>19</v>
      </c>
      <c r="H45" s="15" t="s">
        <v>20</v>
      </c>
      <c r="I45" s="15" t="s">
        <v>19</v>
      </c>
      <c r="J45" s="15" t="s">
        <v>19</v>
      </c>
      <c r="K45" s="18" t="s">
        <v>19</v>
      </c>
      <c r="L45" s="15" t="s">
        <v>19</v>
      </c>
    </row>
    <row r="46" ht="18" customHeight="1" spans="1:12" x14ac:dyDescent="0.25">
      <c r="A46" s="5" t="s">
        <v>49</v>
      </c>
      <c r="B46" s="6" t="s">
        <v>50</v>
      </c>
      <c r="C46" s="7" t="s">
        <v>16</v>
      </c>
      <c r="D46" s="8" t="s">
        <v>113</v>
      </c>
      <c r="E46" s="9">
        <v>1</v>
      </c>
      <c r="F46" s="10" t="s">
        <v>112</v>
      </c>
      <c r="G46" s="8" t="s">
        <v>19</v>
      </c>
      <c r="H46" s="8" t="s">
        <v>20</v>
      </c>
      <c r="I46" s="8" t="s">
        <v>19</v>
      </c>
      <c r="J46" s="8" t="s">
        <v>19</v>
      </c>
      <c r="K46" s="11" t="s">
        <v>19</v>
      </c>
      <c r="L46" s="8" t="s">
        <v>19</v>
      </c>
    </row>
    <row r="47" ht="18" customHeight="1" spans="1:12" x14ac:dyDescent="0.25">
      <c r="A47" s="12" t="s">
        <v>53</v>
      </c>
      <c r="B47" s="13" t="s">
        <v>54</v>
      </c>
      <c r="C47" s="14" t="s">
        <v>16</v>
      </c>
      <c r="D47" s="15" t="s">
        <v>114</v>
      </c>
      <c r="E47" s="16">
        <v>1</v>
      </c>
      <c r="F47" s="17" t="s">
        <v>112</v>
      </c>
      <c r="G47" s="15" t="s">
        <v>19</v>
      </c>
      <c r="H47" s="15" t="s">
        <v>20</v>
      </c>
      <c r="I47" s="15" t="s">
        <v>19</v>
      </c>
      <c r="J47" s="15" t="s">
        <v>19</v>
      </c>
      <c r="K47" s="18" t="s">
        <v>19</v>
      </c>
      <c r="L47" s="15" t="s">
        <v>19</v>
      </c>
    </row>
    <row r="48" ht="18" customHeight="1" spans="1:12" x14ac:dyDescent="0.25">
      <c r="A48" s="5" t="s">
        <v>53</v>
      </c>
      <c r="B48" s="6" t="s">
        <v>54</v>
      </c>
      <c r="C48" s="7" t="s">
        <v>16</v>
      </c>
      <c r="D48" s="8" t="s">
        <v>115</v>
      </c>
      <c r="E48" s="9">
        <v>1</v>
      </c>
      <c r="F48" s="10" t="s">
        <v>112</v>
      </c>
      <c r="G48" s="8" t="s">
        <v>19</v>
      </c>
      <c r="H48" s="8" t="s">
        <v>20</v>
      </c>
      <c r="I48" s="8" t="s">
        <v>19</v>
      </c>
      <c r="J48" s="8" t="s">
        <v>19</v>
      </c>
      <c r="K48" s="11" t="s">
        <v>19</v>
      </c>
      <c r="L48" s="8" t="s">
        <v>19</v>
      </c>
    </row>
    <row r="49" ht="18" customHeight="1" spans="1:12" x14ac:dyDescent="0.25">
      <c r="A49" s="12" t="s">
        <v>21</v>
      </c>
      <c r="B49" s="13" t="s">
        <v>22</v>
      </c>
      <c r="C49" s="14" t="s">
        <v>16</v>
      </c>
      <c r="D49" s="15" t="s">
        <v>116</v>
      </c>
      <c r="E49" s="16">
        <v>1</v>
      </c>
      <c r="F49" s="17" t="s">
        <v>117</v>
      </c>
      <c r="G49" s="15" t="s">
        <v>19</v>
      </c>
      <c r="H49" s="15" t="s">
        <v>20</v>
      </c>
      <c r="I49" s="15" t="s">
        <v>19</v>
      </c>
      <c r="J49" s="15" t="s">
        <v>19</v>
      </c>
      <c r="K49" s="18" t="s">
        <v>19</v>
      </c>
      <c r="L49" s="15" t="s">
        <v>19</v>
      </c>
    </row>
    <row r="50" ht="18" customHeight="1" spans="1:12" x14ac:dyDescent="0.25">
      <c r="A50" s="5" t="s">
        <v>118</v>
      </c>
      <c r="B50" s="6" t="s">
        <v>119</v>
      </c>
      <c r="C50" s="7" t="s">
        <v>16</v>
      </c>
      <c r="D50" s="8" t="s">
        <v>39</v>
      </c>
      <c r="E50" s="9">
        <v>1</v>
      </c>
      <c r="F50" s="10" t="s">
        <v>117</v>
      </c>
      <c r="G50" s="8" t="s">
        <v>19</v>
      </c>
      <c r="H50" s="8" t="s">
        <v>20</v>
      </c>
      <c r="I50" s="8" t="s">
        <v>19</v>
      </c>
      <c r="J50" s="8" t="s">
        <v>19</v>
      </c>
      <c r="K50" s="11" t="s">
        <v>19</v>
      </c>
      <c r="L50" s="8" t="s">
        <v>19</v>
      </c>
    </row>
    <row r="51" ht="18" customHeight="1" spans="1:12" x14ac:dyDescent="0.25">
      <c r="A51" s="19" t="s">
        <v>97</v>
      </c>
      <c r="B51" s="20" t="s">
        <v>98</v>
      </c>
      <c r="C51" s="21" t="s">
        <v>16</v>
      </c>
      <c r="D51" s="19" t="s">
        <v>120</v>
      </c>
      <c r="E51" s="22">
        <v>0</v>
      </c>
      <c r="F51" s="23" t="s">
        <v>121</v>
      </c>
      <c r="G51" s="19" t="s">
        <v>19</v>
      </c>
      <c r="H51" s="19" t="s">
        <v>20</v>
      </c>
      <c r="I51" s="19" t="s">
        <v>19</v>
      </c>
      <c r="J51" s="19" t="s">
        <v>19</v>
      </c>
      <c r="K51" s="24" t="s">
        <v>19</v>
      </c>
      <c r="L51" s="19" t="s">
        <v>19</v>
      </c>
    </row>
    <row r="52" ht="18" customHeight="1" spans="1:12" x14ac:dyDescent="0.25">
      <c r="A52" s="19" t="s">
        <v>97</v>
      </c>
      <c r="B52" s="20" t="s">
        <v>98</v>
      </c>
      <c r="C52" s="21" t="s">
        <v>16</v>
      </c>
      <c r="D52" s="19" t="s">
        <v>122</v>
      </c>
      <c r="E52" s="22">
        <v>0</v>
      </c>
      <c r="F52" s="23" t="s">
        <v>123</v>
      </c>
      <c r="G52" s="19" t="s">
        <v>19</v>
      </c>
      <c r="H52" s="19" t="s">
        <v>20</v>
      </c>
      <c r="I52" s="19" t="s">
        <v>19</v>
      </c>
      <c r="J52" s="19" t="s">
        <v>19</v>
      </c>
      <c r="K52" s="24" t="s">
        <v>19</v>
      </c>
      <c r="L52" s="19" t="s">
        <v>19</v>
      </c>
    </row>
    <row r="53" ht="18" customHeight="1" spans="1:12" x14ac:dyDescent="0.25">
      <c r="A53" s="25" t="s">
        <v>124</v>
      </c>
      <c r="B53" s="26" t="s">
        <v>125</v>
      </c>
      <c r="C53" s="27" t="s">
        <v>126</v>
      </c>
      <c r="D53" s="25" t="s">
        <v>127</v>
      </c>
      <c r="E53" s="28"/>
      <c r="F53" s="29" t="s">
        <v>128</v>
      </c>
      <c r="G53" s="25" t="s">
        <v>19</v>
      </c>
      <c r="H53" s="25" t="s">
        <v>20</v>
      </c>
      <c r="I53" s="25" t="s">
        <v>19</v>
      </c>
      <c r="J53" s="25" t="s">
        <v>19</v>
      </c>
      <c r="K53" s="30" t="s">
        <v>19</v>
      </c>
      <c r="L53" s="25" t="s">
        <v>19</v>
      </c>
    </row>
    <row r="54" ht="18" customHeight="1" spans="1:12" x14ac:dyDescent="0.25">
      <c r="A54" s="19" t="s">
        <v>35</v>
      </c>
      <c r="B54" s="20" t="s">
        <v>36</v>
      </c>
      <c r="C54" s="21" t="s">
        <v>16</v>
      </c>
      <c r="D54" s="19" t="s">
        <v>129</v>
      </c>
      <c r="E54" s="22">
        <v>0</v>
      </c>
      <c r="F54" s="23" t="s">
        <v>130</v>
      </c>
      <c r="G54" s="19" t="s">
        <v>19</v>
      </c>
      <c r="H54" s="19" t="s">
        <v>20</v>
      </c>
      <c r="I54" s="19" t="s">
        <v>19</v>
      </c>
      <c r="J54" s="19" t="s">
        <v>19</v>
      </c>
      <c r="K54" s="24" t="s">
        <v>19</v>
      </c>
      <c r="L54" s="19" t="s">
        <v>19</v>
      </c>
    </row>
    <row r="55" ht="18" customHeight="1" spans="1:12" x14ac:dyDescent="0.25">
      <c r="A55" s="19" t="s">
        <v>14</v>
      </c>
      <c r="B55" s="20" t="s">
        <v>15</v>
      </c>
      <c r="C55" s="21" t="s">
        <v>16</v>
      </c>
      <c r="D55" s="19" t="s">
        <v>131</v>
      </c>
      <c r="E55" s="22">
        <v>0</v>
      </c>
      <c r="F55" s="23" t="s">
        <v>132</v>
      </c>
      <c r="G55" s="19" t="s">
        <v>19</v>
      </c>
      <c r="H55" s="19" t="s">
        <v>20</v>
      </c>
      <c r="I55" s="19" t="s">
        <v>19</v>
      </c>
      <c r="J55" s="19" t="s">
        <v>19</v>
      </c>
      <c r="K55" s="24" t="s">
        <v>19</v>
      </c>
      <c r="L55" s="19" t="s">
        <v>19</v>
      </c>
    </row>
    <row r="56" ht="18" customHeight="1" spans="1:12" x14ac:dyDescent="0.25">
      <c r="A56" s="25" t="s">
        <v>133</v>
      </c>
      <c r="B56" s="26" t="s">
        <v>134</v>
      </c>
      <c r="C56" s="27" t="s">
        <v>16</v>
      </c>
      <c r="D56" s="25" t="s">
        <v>127</v>
      </c>
      <c r="E56" s="28"/>
      <c r="F56" s="29" t="s">
        <v>128</v>
      </c>
      <c r="G56" s="25" t="s">
        <v>19</v>
      </c>
      <c r="H56" s="25" t="s">
        <v>20</v>
      </c>
      <c r="I56" s="25" t="s">
        <v>19</v>
      </c>
      <c r="J56" s="25" t="s">
        <v>19</v>
      </c>
      <c r="K56" s="30" t="s">
        <v>19</v>
      </c>
      <c r="L56" s="25" t="s">
        <v>19</v>
      </c>
    </row>
    <row r="57" ht="18" customHeight="1" spans="1:12" x14ac:dyDescent="0.25">
      <c r="A57" s="25" t="s">
        <v>135</v>
      </c>
      <c r="B57" s="26" t="s">
        <v>136</v>
      </c>
      <c r="C57" s="27" t="s">
        <v>126</v>
      </c>
      <c r="D57" s="25" t="s">
        <v>127</v>
      </c>
      <c r="E57" s="28"/>
      <c r="F57" s="29" t="s">
        <v>128</v>
      </c>
      <c r="G57" s="25" t="s">
        <v>19</v>
      </c>
      <c r="H57" s="25" t="s">
        <v>20</v>
      </c>
      <c r="I57" s="25" t="s">
        <v>19</v>
      </c>
      <c r="J57" s="25" t="s">
        <v>19</v>
      </c>
      <c r="K57" s="30" t="s">
        <v>19</v>
      </c>
      <c r="L57" s="25" t="s">
        <v>19</v>
      </c>
    </row>
    <row r="58" ht="18" customHeight="1" spans="1:12" x14ac:dyDescent="0.25">
      <c r="A58" s="25" t="s">
        <v>137</v>
      </c>
      <c r="B58" s="26" t="s">
        <v>138</v>
      </c>
      <c r="C58" s="27" t="s">
        <v>16</v>
      </c>
      <c r="D58" s="25" t="s">
        <v>127</v>
      </c>
      <c r="E58" s="28"/>
      <c r="F58" s="29" t="s">
        <v>128</v>
      </c>
      <c r="G58" s="25" t="s">
        <v>19</v>
      </c>
      <c r="H58" s="25" t="s">
        <v>20</v>
      </c>
      <c r="I58" s="25" t="s">
        <v>19</v>
      </c>
      <c r="J58" s="25" t="s">
        <v>19</v>
      </c>
      <c r="K58" s="30" t="s">
        <v>19</v>
      </c>
      <c r="L58" s="25" t="s">
        <v>19</v>
      </c>
    </row>
    <row r="59" ht="18" customHeight="1" spans="1:12" x14ac:dyDescent="0.25">
      <c r="A59" s="25" t="s">
        <v>139</v>
      </c>
      <c r="B59" s="26" t="s">
        <v>140</v>
      </c>
      <c r="C59" s="27" t="s">
        <v>16</v>
      </c>
      <c r="D59" s="25" t="s">
        <v>127</v>
      </c>
      <c r="E59" s="28"/>
      <c r="F59" s="29" t="s">
        <v>128</v>
      </c>
      <c r="G59" s="25" t="s">
        <v>19</v>
      </c>
      <c r="H59" s="25" t="s">
        <v>20</v>
      </c>
      <c r="I59" s="25" t="s">
        <v>19</v>
      </c>
      <c r="J59" s="25" t="s">
        <v>19</v>
      </c>
      <c r="K59" s="30" t="s">
        <v>19</v>
      </c>
      <c r="L59" s="25" t="s">
        <v>19</v>
      </c>
    </row>
  </sheetData>
  <autoFilter ref="A2:L59"/>
  <mergeCells count="3">
    <mergeCell ref="A1:L1"/>
    <mergeCell ref="A3:F3"/>
    <mergeCell ref="G3:L3"/>
  </mergeCells>
  <dataValidations count="6">
    <dataValidation type="list" allowBlank="1" sqref="G10:G59">
      <formula1>"Acceptable as-is,S1 data cleanup,Loader script fix,Needs ruling,Already fixed"</formula1>
    </dataValidation>
    <dataValidation type="list" allowBlank="1" sqref="G4:G59">
      <formula1>"Acceptable as-is,S1 data cleanup,Loader script fix,Needs ruling,Already fixed"</formula1>
    </dataValidation>
    <dataValidation type="list" sqref="H10:H59">
      <formula1>"Not reviewed,In review,Decided,Resolved"</formula1>
    </dataValidation>
    <dataValidation type="list" sqref="H4:H59">
      <formula1>"Not reviewed,In review,Decided,Resolved"</formula1>
    </dataValidation>
    <dataValidation type="list" allowBlank="1" sqref="I10:I59">
      <formula1>"yes,no,n/a"</formula1>
    </dataValidation>
    <dataValidation type="list" allowBlank="1" sqref="I4:I59">
      <formula1>"yes,no,n/a"</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Views>
    <sheetView workbookViewId="0">
      <pane ySplit="2" topLeftCell="A3" activePane="bottomLeft" state="frozen"/>
      <selection pane="bottomLeft"/>
    </sheetView>
  </sheetViews>
  <sheetFormatPr defaultRowHeight="15" outlineLevelRow="0" outlineLevelCol="0" x14ac:dyDescent="55"/>
  <cols>
    <col min="1" max="2" width="26" customWidth="1"/>
    <col min="3" max="3" width="14" customWidth="1"/>
    <col min="4" max="4" width="12" customWidth="1"/>
    <col min="5" max="5" width="32" customWidth="1"/>
    <col min="6" max="6" width="12" customWidth="1"/>
  </cols>
  <sheetData>
    <row r="1" ht="26" customHeight="1" spans="1:6" x14ac:dyDescent="0.25">
      <c r="A1" s="31" t="s">
        <v>141</v>
      </c>
      <c r="B1" s="31"/>
      <c r="C1" s="31"/>
      <c r="D1" s="31"/>
      <c r="E1" s="31"/>
      <c r="F1" s="31"/>
    </row>
    <row r="2" ht="24" customHeight="1" spans="1:6" x14ac:dyDescent="0.25">
      <c r="A2" s="32" t="s">
        <v>1</v>
      </c>
      <c r="B2" s="32" t="s">
        <v>142</v>
      </c>
      <c r="C2" s="32" t="s">
        <v>143</v>
      </c>
      <c r="D2" s="32" t="s">
        <v>3</v>
      </c>
      <c r="E2" s="32" t="s">
        <v>4</v>
      </c>
      <c r="F2" s="32" t="s">
        <v>144</v>
      </c>
    </row>
    <row r="3" ht="16" customHeight="1" spans="1:6" x14ac:dyDescent="0.25">
      <c r="A3" s="33" t="s">
        <v>137</v>
      </c>
      <c r="B3" s="33" t="s">
        <v>138</v>
      </c>
      <c r="C3" s="33" t="s">
        <v>145</v>
      </c>
      <c r="D3" s="33" t="s">
        <v>16</v>
      </c>
      <c r="E3" s="34" t="s">
        <v>146</v>
      </c>
      <c r="F3" s="33" t="s">
        <v>19</v>
      </c>
    </row>
    <row r="4" ht="16" customHeight="1" spans="1:6" x14ac:dyDescent="0.25">
      <c r="A4" s="35" t="s">
        <v>97</v>
      </c>
      <c r="B4" s="35" t="s">
        <v>98</v>
      </c>
      <c r="C4" s="35" t="s">
        <v>147</v>
      </c>
      <c r="D4" s="35" t="s">
        <v>16</v>
      </c>
      <c r="E4" s="35" t="s">
        <v>99</v>
      </c>
      <c r="F4" s="36">
        <v>2</v>
      </c>
    </row>
    <row r="5" ht="16" customHeight="1" spans="1:6" x14ac:dyDescent="0.25">
      <c r="A5" s="35" t="s">
        <v>97</v>
      </c>
      <c r="B5" s="35" t="s">
        <v>148</v>
      </c>
      <c r="C5" s="35" t="s">
        <v>149</v>
      </c>
      <c r="D5" s="35" t="s">
        <v>16</v>
      </c>
      <c r="E5" s="35" t="s">
        <v>99</v>
      </c>
      <c r="F5" s="36">
        <v>2</v>
      </c>
    </row>
    <row r="6" ht="16" customHeight="1" spans="1:6" x14ac:dyDescent="0.25">
      <c r="A6" s="35" t="s">
        <v>97</v>
      </c>
      <c r="B6" s="35" t="s">
        <v>150</v>
      </c>
      <c r="C6" s="35" t="s">
        <v>151</v>
      </c>
      <c r="D6" s="35" t="s">
        <v>16</v>
      </c>
      <c r="E6" s="35" t="s">
        <v>99</v>
      </c>
      <c r="F6" s="36">
        <v>2</v>
      </c>
    </row>
    <row r="7" ht="16" customHeight="1" spans="1:6" x14ac:dyDescent="0.25">
      <c r="A7" s="37" t="s">
        <v>97</v>
      </c>
      <c r="B7" s="37" t="s">
        <v>150</v>
      </c>
      <c r="C7" s="37" t="s">
        <v>151</v>
      </c>
      <c r="D7" s="37" t="s">
        <v>16</v>
      </c>
      <c r="E7" s="37" t="s">
        <v>120</v>
      </c>
      <c r="F7" s="38">
        <v>2</v>
      </c>
    </row>
    <row r="8" ht="16" customHeight="1" spans="1:6" x14ac:dyDescent="0.25">
      <c r="A8" s="35" t="s">
        <v>97</v>
      </c>
      <c r="B8" s="35" t="s">
        <v>152</v>
      </c>
      <c r="C8" s="35" t="s">
        <v>153</v>
      </c>
      <c r="D8" s="35" t="s">
        <v>16</v>
      </c>
      <c r="E8" s="35" t="s">
        <v>99</v>
      </c>
      <c r="F8" s="36">
        <v>2</v>
      </c>
    </row>
    <row r="9" ht="16" customHeight="1" spans="1:6" x14ac:dyDescent="0.25">
      <c r="A9" s="37" t="s">
        <v>97</v>
      </c>
      <c r="B9" s="37" t="s">
        <v>152</v>
      </c>
      <c r="C9" s="37" t="s">
        <v>153</v>
      </c>
      <c r="D9" s="37" t="s">
        <v>16</v>
      </c>
      <c r="E9" s="37" t="s">
        <v>120</v>
      </c>
      <c r="F9" s="38">
        <v>7</v>
      </c>
    </row>
    <row r="10" ht="16" customHeight="1" spans="1:6" x14ac:dyDescent="0.25">
      <c r="A10" s="35" t="s">
        <v>97</v>
      </c>
      <c r="B10" s="35" t="s">
        <v>154</v>
      </c>
      <c r="C10" s="35" t="s">
        <v>155</v>
      </c>
      <c r="D10" s="35" t="s">
        <v>16</v>
      </c>
      <c r="E10" s="35" t="s">
        <v>120</v>
      </c>
      <c r="F10" s="36">
        <v>700</v>
      </c>
    </row>
    <row r="11" ht="16" customHeight="1" spans="1:6" x14ac:dyDescent="0.25">
      <c r="A11" s="37" t="s">
        <v>97</v>
      </c>
      <c r="B11" s="37" t="s">
        <v>154</v>
      </c>
      <c r="C11" s="37" t="s">
        <v>155</v>
      </c>
      <c r="D11" s="37" t="s">
        <v>16</v>
      </c>
      <c r="E11" s="37" t="s">
        <v>122</v>
      </c>
      <c r="F11" s="38">
        <v>9202</v>
      </c>
    </row>
    <row r="12" ht="16" customHeight="1" spans="1:6" x14ac:dyDescent="0.25">
      <c r="A12" s="33" t="s">
        <v>137</v>
      </c>
      <c r="B12" s="33" t="s">
        <v>156</v>
      </c>
      <c r="C12" s="33" t="s">
        <v>157</v>
      </c>
      <c r="D12" s="33" t="s">
        <v>16</v>
      </c>
      <c r="E12" s="34" t="s">
        <v>146</v>
      </c>
      <c r="F12" s="33" t="s">
        <v>19</v>
      </c>
    </row>
    <row r="13" ht="16" customHeight="1" spans="1:6" x14ac:dyDescent="0.25">
      <c r="A13" s="33" t="s">
        <v>135</v>
      </c>
      <c r="B13" s="33" t="s">
        <v>136</v>
      </c>
      <c r="C13" s="33" t="s">
        <v>158</v>
      </c>
      <c r="D13" s="33" t="s">
        <v>126</v>
      </c>
      <c r="E13" s="34" t="s">
        <v>146</v>
      </c>
      <c r="F13" s="33" t="s">
        <v>19</v>
      </c>
    </row>
    <row r="14" ht="16" customHeight="1" spans="1:6" x14ac:dyDescent="0.25">
      <c r="A14" s="35" t="s">
        <v>14</v>
      </c>
      <c r="B14" s="35" t="s">
        <v>15</v>
      </c>
      <c r="C14" s="35" t="s">
        <v>159</v>
      </c>
      <c r="D14" s="35" t="s">
        <v>16</v>
      </c>
      <c r="E14" s="35" t="s">
        <v>78</v>
      </c>
      <c r="F14" s="36">
        <v>16</v>
      </c>
    </row>
    <row r="15" ht="16" customHeight="1" spans="1:6" x14ac:dyDescent="0.25">
      <c r="A15" s="37" t="s">
        <v>14</v>
      </c>
      <c r="B15" s="37" t="s">
        <v>15</v>
      </c>
      <c r="C15" s="37" t="s">
        <v>159</v>
      </c>
      <c r="D15" s="37" t="s">
        <v>16</v>
      </c>
      <c r="E15" s="37" t="s">
        <v>39</v>
      </c>
      <c r="F15" s="38">
        <v>452</v>
      </c>
    </row>
    <row r="16" ht="16" customHeight="1" spans="1:6" x14ac:dyDescent="0.25">
      <c r="A16" s="35" t="s">
        <v>14</v>
      </c>
      <c r="B16" s="35" t="s">
        <v>15</v>
      </c>
      <c r="C16" s="35" t="s">
        <v>159</v>
      </c>
      <c r="D16" s="35" t="s">
        <v>16</v>
      </c>
      <c r="E16" s="35" t="s">
        <v>27</v>
      </c>
      <c r="F16" s="36">
        <v>6863</v>
      </c>
    </row>
    <row r="17" ht="16" customHeight="1" spans="1:6" x14ac:dyDescent="0.25">
      <c r="A17" s="37" t="s">
        <v>14</v>
      </c>
      <c r="B17" s="37" t="s">
        <v>15</v>
      </c>
      <c r="C17" s="37" t="s">
        <v>159</v>
      </c>
      <c r="D17" s="37" t="s">
        <v>16</v>
      </c>
      <c r="E17" s="37" t="s">
        <v>29</v>
      </c>
      <c r="F17" s="38">
        <v>2553</v>
      </c>
    </row>
    <row r="18" ht="16" customHeight="1" spans="1:6" x14ac:dyDescent="0.25">
      <c r="A18" s="35" t="s">
        <v>14</v>
      </c>
      <c r="B18" s="35" t="s">
        <v>15</v>
      </c>
      <c r="C18" s="35" t="s">
        <v>159</v>
      </c>
      <c r="D18" s="35" t="s">
        <v>16</v>
      </c>
      <c r="E18" s="35" t="s">
        <v>17</v>
      </c>
      <c r="F18" s="36">
        <v>71964</v>
      </c>
    </row>
    <row r="19" ht="16" customHeight="1" spans="1:6" x14ac:dyDescent="0.25">
      <c r="A19" s="37" t="s">
        <v>14</v>
      </c>
      <c r="B19" s="37" t="s">
        <v>15</v>
      </c>
      <c r="C19" s="37" t="s">
        <v>159</v>
      </c>
      <c r="D19" s="37" t="s">
        <v>16</v>
      </c>
      <c r="E19" s="37" t="s">
        <v>69</v>
      </c>
      <c r="F19" s="38">
        <v>41</v>
      </c>
    </row>
    <row r="20" ht="16" customHeight="1" spans="1:6" x14ac:dyDescent="0.25">
      <c r="A20" s="35" t="s">
        <v>14</v>
      </c>
      <c r="B20" s="35" t="s">
        <v>15</v>
      </c>
      <c r="C20" s="35" t="s">
        <v>159</v>
      </c>
      <c r="D20" s="35" t="s">
        <v>16</v>
      </c>
      <c r="E20" s="35" t="s">
        <v>31</v>
      </c>
      <c r="F20" s="36">
        <v>1462</v>
      </c>
    </row>
    <row r="21" ht="16" customHeight="1" spans="1:6" x14ac:dyDescent="0.25">
      <c r="A21" s="37" t="s">
        <v>14</v>
      </c>
      <c r="B21" s="37" t="s">
        <v>15</v>
      </c>
      <c r="C21" s="37" t="s">
        <v>159</v>
      </c>
      <c r="D21" s="37" t="s">
        <v>16</v>
      </c>
      <c r="E21" s="37" t="s">
        <v>62</v>
      </c>
      <c r="F21" s="38">
        <v>69</v>
      </c>
    </row>
    <row r="22" ht="16" customHeight="1" spans="1:6" x14ac:dyDescent="0.25">
      <c r="A22" s="35" t="s">
        <v>14</v>
      </c>
      <c r="B22" s="35" t="s">
        <v>160</v>
      </c>
      <c r="C22" s="35" t="s">
        <v>161</v>
      </c>
      <c r="D22" s="35" t="s">
        <v>16</v>
      </c>
      <c r="E22" s="35" t="s">
        <v>78</v>
      </c>
      <c r="F22" s="36">
        <v>16</v>
      </c>
    </row>
    <row r="23" ht="16" customHeight="1" spans="1:6" x14ac:dyDescent="0.25">
      <c r="A23" s="37" t="s">
        <v>14</v>
      </c>
      <c r="B23" s="37" t="s">
        <v>160</v>
      </c>
      <c r="C23" s="37" t="s">
        <v>161</v>
      </c>
      <c r="D23" s="37" t="s">
        <v>16</v>
      </c>
      <c r="E23" s="37" t="s">
        <v>39</v>
      </c>
      <c r="F23" s="38">
        <v>452</v>
      </c>
    </row>
    <row r="24" ht="16" customHeight="1" spans="1:6" x14ac:dyDescent="0.25">
      <c r="A24" s="35" t="s">
        <v>14</v>
      </c>
      <c r="B24" s="35" t="s">
        <v>160</v>
      </c>
      <c r="C24" s="35" t="s">
        <v>161</v>
      </c>
      <c r="D24" s="35" t="s">
        <v>16</v>
      </c>
      <c r="E24" s="35" t="s">
        <v>27</v>
      </c>
      <c r="F24" s="36">
        <v>6863</v>
      </c>
    </row>
    <row r="25" ht="16" customHeight="1" spans="1:6" x14ac:dyDescent="0.25">
      <c r="A25" s="37" t="s">
        <v>14</v>
      </c>
      <c r="B25" s="37" t="s">
        <v>160</v>
      </c>
      <c r="C25" s="37" t="s">
        <v>161</v>
      </c>
      <c r="D25" s="37" t="s">
        <v>16</v>
      </c>
      <c r="E25" s="37" t="s">
        <v>29</v>
      </c>
      <c r="F25" s="38">
        <v>2553</v>
      </c>
    </row>
    <row r="26" ht="16" customHeight="1" spans="1:6" x14ac:dyDescent="0.25">
      <c r="A26" s="35" t="s">
        <v>14</v>
      </c>
      <c r="B26" s="35" t="s">
        <v>160</v>
      </c>
      <c r="C26" s="35" t="s">
        <v>161</v>
      </c>
      <c r="D26" s="35" t="s">
        <v>16</v>
      </c>
      <c r="E26" s="35" t="s">
        <v>17</v>
      </c>
      <c r="F26" s="36">
        <v>71964</v>
      </c>
    </row>
    <row r="27" ht="16" customHeight="1" spans="1:6" x14ac:dyDescent="0.25">
      <c r="A27" s="37" t="s">
        <v>14</v>
      </c>
      <c r="B27" s="37" t="s">
        <v>160</v>
      </c>
      <c r="C27" s="37" t="s">
        <v>161</v>
      </c>
      <c r="D27" s="37" t="s">
        <v>16</v>
      </c>
      <c r="E27" s="37" t="s">
        <v>69</v>
      </c>
      <c r="F27" s="38">
        <v>41</v>
      </c>
    </row>
    <row r="28" ht="16" customHeight="1" spans="1:6" x14ac:dyDescent="0.25">
      <c r="A28" s="35" t="s">
        <v>14</v>
      </c>
      <c r="B28" s="35" t="s">
        <v>160</v>
      </c>
      <c r="C28" s="35" t="s">
        <v>161</v>
      </c>
      <c r="D28" s="35" t="s">
        <v>16</v>
      </c>
      <c r="E28" s="35" t="s">
        <v>31</v>
      </c>
      <c r="F28" s="36">
        <v>1462</v>
      </c>
    </row>
    <row r="29" ht="16" customHeight="1" spans="1:6" x14ac:dyDescent="0.25">
      <c r="A29" s="37" t="s">
        <v>14</v>
      </c>
      <c r="B29" s="37" t="s">
        <v>160</v>
      </c>
      <c r="C29" s="37" t="s">
        <v>161</v>
      </c>
      <c r="D29" s="37" t="s">
        <v>16</v>
      </c>
      <c r="E29" s="37" t="s">
        <v>62</v>
      </c>
      <c r="F29" s="38">
        <v>69</v>
      </c>
    </row>
    <row r="30" ht="16" customHeight="1" spans="1:6" x14ac:dyDescent="0.25">
      <c r="A30" s="35" t="s">
        <v>35</v>
      </c>
      <c r="B30" s="35" t="s">
        <v>36</v>
      </c>
      <c r="C30" s="35" t="s">
        <v>162</v>
      </c>
      <c r="D30" s="35" t="s">
        <v>16</v>
      </c>
      <c r="E30" s="35" t="s">
        <v>78</v>
      </c>
      <c r="F30" s="36">
        <v>3</v>
      </c>
    </row>
    <row r="31" ht="16" customHeight="1" spans="1:6" x14ac:dyDescent="0.25">
      <c r="A31" s="37" t="s">
        <v>35</v>
      </c>
      <c r="B31" s="37" t="s">
        <v>36</v>
      </c>
      <c r="C31" s="37" t="s">
        <v>162</v>
      </c>
      <c r="D31" s="37" t="s">
        <v>16</v>
      </c>
      <c r="E31" s="37" t="s">
        <v>39</v>
      </c>
      <c r="F31" s="38">
        <v>234</v>
      </c>
    </row>
    <row r="32" ht="16" customHeight="1" spans="1:6" x14ac:dyDescent="0.25">
      <c r="A32" s="35" t="s">
        <v>35</v>
      </c>
      <c r="B32" s="35" t="s">
        <v>36</v>
      </c>
      <c r="C32" s="35" t="s">
        <v>162</v>
      </c>
      <c r="D32" s="35" t="s">
        <v>16</v>
      </c>
      <c r="E32" s="35" t="s">
        <v>27</v>
      </c>
      <c r="F32" s="36">
        <v>54</v>
      </c>
    </row>
    <row r="33" ht="16" customHeight="1" spans="1:6" x14ac:dyDescent="0.25">
      <c r="A33" s="37" t="s">
        <v>35</v>
      </c>
      <c r="B33" s="37" t="s">
        <v>36</v>
      </c>
      <c r="C33" s="37" t="s">
        <v>162</v>
      </c>
      <c r="D33" s="37" t="s">
        <v>16</v>
      </c>
      <c r="E33" s="37" t="s">
        <v>17</v>
      </c>
      <c r="F33" s="38">
        <v>22</v>
      </c>
    </row>
    <row r="34" ht="16" customHeight="1" spans="1:6" x14ac:dyDescent="0.25">
      <c r="A34" s="35" t="s">
        <v>35</v>
      </c>
      <c r="B34" s="35" t="s">
        <v>36</v>
      </c>
      <c r="C34" s="35" t="s">
        <v>162</v>
      </c>
      <c r="D34" s="35" t="s">
        <v>16</v>
      </c>
      <c r="E34" s="35" t="s">
        <v>93</v>
      </c>
      <c r="F34" s="36">
        <v>3</v>
      </c>
    </row>
    <row r="35" ht="16" customHeight="1" spans="1:6" x14ac:dyDescent="0.25">
      <c r="A35" s="37" t="s">
        <v>35</v>
      </c>
      <c r="B35" s="37" t="s">
        <v>36</v>
      </c>
      <c r="C35" s="37" t="s">
        <v>162</v>
      </c>
      <c r="D35" s="37" t="s">
        <v>16</v>
      </c>
      <c r="E35" s="37" t="s">
        <v>37</v>
      </c>
      <c r="F35" s="38">
        <v>625</v>
      </c>
    </row>
    <row r="36" ht="16" customHeight="1" spans="1:6" x14ac:dyDescent="0.25">
      <c r="A36" s="35" t="s">
        <v>35</v>
      </c>
      <c r="B36" s="35" t="s">
        <v>36</v>
      </c>
      <c r="C36" s="35" t="s">
        <v>162</v>
      </c>
      <c r="D36" s="35" t="s">
        <v>16</v>
      </c>
      <c r="E36" s="35" t="s">
        <v>109</v>
      </c>
      <c r="F36" s="36">
        <v>2</v>
      </c>
    </row>
    <row r="37" ht="16" customHeight="1" spans="1:6" x14ac:dyDescent="0.25">
      <c r="A37" s="35" t="s">
        <v>14</v>
      </c>
      <c r="B37" s="35" t="s">
        <v>163</v>
      </c>
      <c r="C37" s="35" t="s">
        <v>164</v>
      </c>
      <c r="D37" s="35" t="s">
        <v>16</v>
      </c>
      <c r="E37" s="35" t="s">
        <v>78</v>
      </c>
      <c r="F37" s="36">
        <v>16</v>
      </c>
    </row>
    <row r="38" ht="16" customHeight="1" spans="1:6" x14ac:dyDescent="0.25">
      <c r="A38" s="37" t="s">
        <v>14</v>
      </c>
      <c r="B38" s="37" t="s">
        <v>163</v>
      </c>
      <c r="C38" s="37" t="s">
        <v>164</v>
      </c>
      <c r="D38" s="37" t="s">
        <v>16</v>
      </c>
      <c r="E38" s="37" t="s">
        <v>39</v>
      </c>
      <c r="F38" s="38">
        <v>452</v>
      </c>
    </row>
    <row r="39" ht="16" customHeight="1" spans="1:6" x14ac:dyDescent="0.25">
      <c r="A39" s="35" t="s">
        <v>14</v>
      </c>
      <c r="B39" s="35" t="s">
        <v>163</v>
      </c>
      <c r="C39" s="35" t="s">
        <v>164</v>
      </c>
      <c r="D39" s="35" t="s">
        <v>16</v>
      </c>
      <c r="E39" s="35" t="s">
        <v>27</v>
      </c>
      <c r="F39" s="36">
        <v>6863</v>
      </c>
    </row>
    <row r="40" ht="16" customHeight="1" spans="1:6" x14ac:dyDescent="0.25">
      <c r="A40" s="37" t="s">
        <v>14</v>
      </c>
      <c r="B40" s="37" t="s">
        <v>163</v>
      </c>
      <c r="C40" s="37" t="s">
        <v>164</v>
      </c>
      <c r="D40" s="37" t="s">
        <v>16</v>
      </c>
      <c r="E40" s="37" t="s">
        <v>29</v>
      </c>
      <c r="F40" s="38">
        <v>2553</v>
      </c>
    </row>
    <row r="41" ht="16" customHeight="1" spans="1:6" x14ac:dyDescent="0.25">
      <c r="A41" s="35" t="s">
        <v>14</v>
      </c>
      <c r="B41" s="35" t="s">
        <v>163</v>
      </c>
      <c r="C41" s="35" t="s">
        <v>164</v>
      </c>
      <c r="D41" s="35" t="s">
        <v>16</v>
      </c>
      <c r="E41" s="35" t="s">
        <v>17</v>
      </c>
      <c r="F41" s="36">
        <v>71964</v>
      </c>
    </row>
    <row r="42" ht="16" customHeight="1" spans="1:6" x14ac:dyDescent="0.25">
      <c r="A42" s="37" t="s">
        <v>14</v>
      </c>
      <c r="B42" s="37" t="s">
        <v>163</v>
      </c>
      <c r="C42" s="37" t="s">
        <v>164</v>
      </c>
      <c r="D42" s="37" t="s">
        <v>16</v>
      </c>
      <c r="E42" s="37" t="s">
        <v>69</v>
      </c>
      <c r="F42" s="38">
        <v>41</v>
      </c>
    </row>
    <row r="43" ht="16" customHeight="1" spans="1:6" x14ac:dyDescent="0.25">
      <c r="A43" s="35" t="s">
        <v>14</v>
      </c>
      <c r="B43" s="35" t="s">
        <v>163</v>
      </c>
      <c r="C43" s="35" t="s">
        <v>164</v>
      </c>
      <c r="D43" s="35" t="s">
        <v>16</v>
      </c>
      <c r="E43" s="35" t="s">
        <v>31</v>
      </c>
      <c r="F43" s="36">
        <v>35103</v>
      </c>
    </row>
    <row r="44" ht="16" customHeight="1" spans="1:6" x14ac:dyDescent="0.25">
      <c r="A44" s="37" t="s">
        <v>14</v>
      </c>
      <c r="B44" s="37" t="s">
        <v>163</v>
      </c>
      <c r="C44" s="37" t="s">
        <v>164</v>
      </c>
      <c r="D44" s="37" t="s">
        <v>16</v>
      </c>
      <c r="E44" s="37" t="s">
        <v>131</v>
      </c>
      <c r="F44" s="38">
        <v>159735</v>
      </c>
    </row>
    <row r="45" ht="16" customHeight="1" spans="1:6" x14ac:dyDescent="0.25">
      <c r="A45" s="35" t="s">
        <v>14</v>
      </c>
      <c r="B45" s="35" t="s">
        <v>163</v>
      </c>
      <c r="C45" s="35" t="s">
        <v>164</v>
      </c>
      <c r="D45" s="35" t="s">
        <v>16</v>
      </c>
      <c r="E45" s="35" t="s">
        <v>62</v>
      </c>
      <c r="F45" s="36">
        <v>69</v>
      </c>
    </row>
    <row r="46" ht="16" customHeight="1" spans="1:6" x14ac:dyDescent="0.25">
      <c r="A46" s="35" t="s">
        <v>35</v>
      </c>
      <c r="B46" s="35" t="s">
        <v>165</v>
      </c>
      <c r="C46" s="35" t="s">
        <v>166</v>
      </c>
      <c r="D46" s="35" t="s">
        <v>16</v>
      </c>
      <c r="E46" s="35" t="s">
        <v>78</v>
      </c>
      <c r="F46" s="36">
        <v>3</v>
      </c>
    </row>
    <row r="47" ht="16" customHeight="1" spans="1:6" x14ac:dyDescent="0.25">
      <c r="A47" s="37" t="s">
        <v>35</v>
      </c>
      <c r="B47" s="37" t="s">
        <v>165</v>
      </c>
      <c r="C47" s="37" t="s">
        <v>166</v>
      </c>
      <c r="D47" s="37" t="s">
        <v>16</v>
      </c>
      <c r="E47" s="37" t="s">
        <v>39</v>
      </c>
      <c r="F47" s="38">
        <v>234</v>
      </c>
    </row>
    <row r="48" ht="16" customHeight="1" spans="1:6" x14ac:dyDescent="0.25">
      <c r="A48" s="35" t="s">
        <v>35</v>
      </c>
      <c r="B48" s="35" t="s">
        <v>165</v>
      </c>
      <c r="C48" s="35" t="s">
        <v>166</v>
      </c>
      <c r="D48" s="35" t="s">
        <v>16</v>
      </c>
      <c r="E48" s="35" t="s">
        <v>27</v>
      </c>
      <c r="F48" s="36">
        <v>54</v>
      </c>
    </row>
    <row r="49" ht="16" customHeight="1" spans="1:6" x14ac:dyDescent="0.25">
      <c r="A49" s="37" t="s">
        <v>35</v>
      </c>
      <c r="B49" s="37" t="s">
        <v>165</v>
      </c>
      <c r="C49" s="37" t="s">
        <v>166</v>
      </c>
      <c r="D49" s="37" t="s">
        <v>16</v>
      </c>
      <c r="E49" s="37" t="s">
        <v>17</v>
      </c>
      <c r="F49" s="38">
        <v>22</v>
      </c>
    </row>
    <row r="50" ht="16" customHeight="1" spans="1:6" x14ac:dyDescent="0.25">
      <c r="A50" s="35" t="s">
        <v>35</v>
      </c>
      <c r="B50" s="35" t="s">
        <v>165</v>
      </c>
      <c r="C50" s="35" t="s">
        <v>166</v>
      </c>
      <c r="D50" s="35" t="s">
        <v>16</v>
      </c>
      <c r="E50" s="35" t="s">
        <v>93</v>
      </c>
      <c r="F50" s="36">
        <v>3</v>
      </c>
    </row>
    <row r="51" ht="16" customHeight="1" spans="1:6" x14ac:dyDescent="0.25">
      <c r="A51" s="37" t="s">
        <v>35</v>
      </c>
      <c r="B51" s="37" t="s">
        <v>165</v>
      </c>
      <c r="C51" s="37" t="s">
        <v>166</v>
      </c>
      <c r="D51" s="37" t="s">
        <v>16</v>
      </c>
      <c r="E51" s="37" t="s">
        <v>37</v>
      </c>
      <c r="F51" s="38">
        <v>625</v>
      </c>
    </row>
    <row r="52" ht="16" customHeight="1" spans="1:6" x14ac:dyDescent="0.25">
      <c r="A52" s="35" t="s">
        <v>35</v>
      </c>
      <c r="B52" s="35" t="s">
        <v>165</v>
      </c>
      <c r="C52" s="35" t="s">
        <v>166</v>
      </c>
      <c r="D52" s="35" t="s">
        <v>16</v>
      </c>
      <c r="E52" s="35" t="s">
        <v>109</v>
      </c>
      <c r="F52" s="36">
        <v>2</v>
      </c>
    </row>
    <row r="53" ht="16" customHeight="1" spans="1:6" x14ac:dyDescent="0.25">
      <c r="A53" s="35" t="s">
        <v>105</v>
      </c>
      <c r="B53" s="35" t="s">
        <v>106</v>
      </c>
      <c r="C53" s="35" t="s">
        <v>167</v>
      </c>
      <c r="D53" s="35" t="s">
        <v>16</v>
      </c>
      <c r="E53" s="35" t="s">
        <v>107</v>
      </c>
      <c r="F53" s="36">
        <v>2</v>
      </c>
    </row>
    <row r="54" ht="16" customHeight="1" spans="1:6" x14ac:dyDescent="0.25">
      <c r="A54" s="37" t="s">
        <v>105</v>
      </c>
      <c r="B54" s="37" t="s">
        <v>106</v>
      </c>
      <c r="C54" s="37" t="s">
        <v>167</v>
      </c>
      <c r="D54" s="37" t="s">
        <v>16</v>
      </c>
      <c r="E54" s="37" t="s">
        <v>111</v>
      </c>
      <c r="F54" s="38">
        <v>1</v>
      </c>
    </row>
    <row r="55" ht="16" customHeight="1" spans="1:6" x14ac:dyDescent="0.25">
      <c r="A55" s="35" t="s">
        <v>101</v>
      </c>
      <c r="B55" s="35" t="s">
        <v>102</v>
      </c>
      <c r="C55" s="35" t="s">
        <v>168</v>
      </c>
      <c r="D55" s="35" t="s">
        <v>16</v>
      </c>
      <c r="E55" s="35" t="s">
        <v>103</v>
      </c>
      <c r="F55" s="36">
        <v>2</v>
      </c>
    </row>
    <row r="56" ht="16" customHeight="1" spans="1:6" x14ac:dyDescent="0.25">
      <c r="A56" s="35" t="s">
        <v>105</v>
      </c>
      <c r="B56" s="35" t="s">
        <v>169</v>
      </c>
      <c r="C56" s="35" t="s">
        <v>170</v>
      </c>
      <c r="D56" s="35" t="s">
        <v>16</v>
      </c>
      <c r="E56" s="35" t="s">
        <v>107</v>
      </c>
      <c r="F56" s="36">
        <v>2</v>
      </c>
    </row>
    <row r="57" ht="16" customHeight="1" spans="1:6" x14ac:dyDescent="0.25">
      <c r="A57" s="37" t="s">
        <v>105</v>
      </c>
      <c r="B57" s="37" t="s">
        <v>169</v>
      </c>
      <c r="C57" s="37" t="s">
        <v>170</v>
      </c>
      <c r="D57" s="37" t="s">
        <v>16</v>
      </c>
      <c r="E57" s="37" t="s">
        <v>111</v>
      </c>
      <c r="F57" s="38">
        <v>1</v>
      </c>
    </row>
    <row r="58" ht="16" customHeight="1" spans="1:6" x14ac:dyDescent="0.25">
      <c r="A58" s="35" t="s">
        <v>101</v>
      </c>
      <c r="B58" s="35" t="s">
        <v>171</v>
      </c>
      <c r="C58" s="35" t="s">
        <v>172</v>
      </c>
      <c r="D58" s="35" t="s">
        <v>16</v>
      </c>
      <c r="E58" s="35" t="s">
        <v>103</v>
      </c>
      <c r="F58" s="36">
        <v>2</v>
      </c>
    </row>
    <row r="59" ht="16" customHeight="1" spans="1:6" x14ac:dyDescent="0.25">
      <c r="A59" s="35" t="s">
        <v>53</v>
      </c>
      <c r="B59" s="35" t="s">
        <v>54</v>
      </c>
      <c r="C59" s="35" t="s">
        <v>173</v>
      </c>
      <c r="D59" s="35" t="s">
        <v>16</v>
      </c>
      <c r="E59" s="35" t="s">
        <v>114</v>
      </c>
      <c r="F59" s="36">
        <v>1</v>
      </c>
    </row>
    <row r="60" ht="16" customHeight="1" spans="1:6" x14ac:dyDescent="0.25">
      <c r="A60" s="37" t="s">
        <v>53</v>
      </c>
      <c r="B60" s="37" t="s">
        <v>54</v>
      </c>
      <c r="C60" s="37" t="s">
        <v>173</v>
      </c>
      <c r="D60" s="37" t="s">
        <v>16</v>
      </c>
      <c r="E60" s="37" t="s">
        <v>55</v>
      </c>
      <c r="F60" s="38">
        <v>102</v>
      </c>
    </row>
    <row r="61" ht="16" customHeight="1" spans="1:6" x14ac:dyDescent="0.25">
      <c r="A61" s="35" t="s">
        <v>53</v>
      </c>
      <c r="B61" s="35" t="s">
        <v>54</v>
      </c>
      <c r="C61" s="35" t="s">
        <v>173</v>
      </c>
      <c r="D61" s="35" t="s">
        <v>16</v>
      </c>
      <c r="E61" s="35" t="s">
        <v>94</v>
      </c>
      <c r="F61" s="36">
        <v>3</v>
      </c>
    </row>
    <row r="62" ht="16" customHeight="1" spans="1:6" x14ac:dyDescent="0.25">
      <c r="A62" s="37" t="s">
        <v>53</v>
      </c>
      <c r="B62" s="37" t="s">
        <v>54</v>
      </c>
      <c r="C62" s="37" t="s">
        <v>173</v>
      </c>
      <c r="D62" s="37" t="s">
        <v>16</v>
      </c>
      <c r="E62" s="37" t="s">
        <v>96</v>
      </c>
      <c r="F62" s="38">
        <v>3</v>
      </c>
    </row>
    <row r="63" ht="16" customHeight="1" spans="1:6" x14ac:dyDescent="0.25">
      <c r="A63" s="35" t="s">
        <v>53</v>
      </c>
      <c r="B63" s="35" t="s">
        <v>54</v>
      </c>
      <c r="C63" s="35" t="s">
        <v>173</v>
      </c>
      <c r="D63" s="35" t="s">
        <v>16</v>
      </c>
      <c r="E63" s="35" t="s">
        <v>71</v>
      </c>
      <c r="F63" s="36">
        <v>40</v>
      </c>
    </row>
    <row r="64" ht="16" customHeight="1" spans="1:6" x14ac:dyDescent="0.25">
      <c r="A64" s="37" t="s">
        <v>53</v>
      </c>
      <c r="B64" s="37" t="s">
        <v>54</v>
      </c>
      <c r="C64" s="37" t="s">
        <v>173</v>
      </c>
      <c r="D64" s="37" t="s">
        <v>16</v>
      </c>
      <c r="E64" s="37" t="s">
        <v>115</v>
      </c>
      <c r="F64" s="38">
        <v>1</v>
      </c>
    </row>
    <row r="65" ht="16" customHeight="1" spans="1:6" x14ac:dyDescent="0.25">
      <c r="A65" s="35" t="s">
        <v>53</v>
      </c>
      <c r="B65" s="35" t="s">
        <v>174</v>
      </c>
      <c r="C65" s="35" t="s">
        <v>175</v>
      </c>
      <c r="D65" s="35" t="s">
        <v>16</v>
      </c>
      <c r="E65" s="35" t="s">
        <v>114</v>
      </c>
      <c r="F65" s="36">
        <v>1</v>
      </c>
    </row>
    <row r="66" ht="16" customHeight="1" spans="1:6" x14ac:dyDescent="0.25">
      <c r="A66" s="37" t="s">
        <v>53</v>
      </c>
      <c r="B66" s="37" t="s">
        <v>174</v>
      </c>
      <c r="C66" s="37" t="s">
        <v>175</v>
      </c>
      <c r="D66" s="37" t="s">
        <v>16</v>
      </c>
      <c r="E66" s="37" t="s">
        <v>55</v>
      </c>
      <c r="F66" s="38">
        <v>102</v>
      </c>
    </row>
    <row r="67" ht="16" customHeight="1" spans="1:6" x14ac:dyDescent="0.25">
      <c r="A67" s="35" t="s">
        <v>53</v>
      </c>
      <c r="B67" s="35" t="s">
        <v>174</v>
      </c>
      <c r="C67" s="35" t="s">
        <v>175</v>
      </c>
      <c r="D67" s="35" t="s">
        <v>16</v>
      </c>
      <c r="E67" s="35" t="s">
        <v>94</v>
      </c>
      <c r="F67" s="36">
        <v>3</v>
      </c>
    </row>
    <row r="68" ht="16" customHeight="1" spans="1:6" x14ac:dyDescent="0.25">
      <c r="A68" s="37" t="s">
        <v>53</v>
      </c>
      <c r="B68" s="37" t="s">
        <v>174</v>
      </c>
      <c r="C68" s="37" t="s">
        <v>175</v>
      </c>
      <c r="D68" s="37" t="s">
        <v>16</v>
      </c>
      <c r="E68" s="37" t="s">
        <v>96</v>
      </c>
      <c r="F68" s="38">
        <v>3</v>
      </c>
    </row>
    <row r="69" ht="16" customHeight="1" spans="1:6" x14ac:dyDescent="0.25">
      <c r="A69" s="35" t="s">
        <v>53</v>
      </c>
      <c r="B69" s="35" t="s">
        <v>174</v>
      </c>
      <c r="C69" s="35" t="s">
        <v>175</v>
      </c>
      <c r="D69" s="35" t="s">
        <v>16</v>
      </c>
      <c r="E69" s="35" t="s">
        <v>71</v>
      </c>
      <c r="F69" s="36">
        <v>40</v>
      </c>
    </row>
    <row r="70" ht="16" customHeight="1" spans="1:6" x14ac:dyDescent="0.25">
      <c r="A70" s="37" t="s">
        <v>53</v>
      </c>
      <c r="B70" s="37" t="s">
        <v>174</v>
      </c>
      <c r="C70" s="37" t="s">
        <v>175</v>
      </c>
      <c r="D70" s="37" t="s">
        <v>16</v>
      </c>
      <c r="E70" s="37" t="s">
        <v>115</v>
      </c>
      <c r="F70" s="38">
        <v>1</v>
      </c>
    </row>
    <row r="71" ht="16" customHeight="1" spans="1:6" x14ac:dyDescent="0.25">
      <c r="A71" s="35" t="s">
        <v>35</v>
      </c>
      <c r="B71" s="35" t="s">
        <v>176</v>
      </c>
      <c r="C71" s="35" t="s">
        <v>177</v>
      </c>
      <c r="D71" s="35" t="s">
        <v>16</v>
      </c>
      <c r="E71" s="35" t="s">
        <v>78</v>
      </c>
      <c r="F71" s="36">
        <v>3</v>
      </c>
    </row>
    <row r="72" ht="16" customHeight="1" spans="1:6" x14ac:dyDescent="0.25">
      <c r="A72" s="37" t="s">
        <v>35</v>
      </c>
      <c r="B72" s="37" t="s">
        <v>176</v>
      </c>
      <c r="C72" s="37" t="s">
        <v>177</v>
      </c>
      <c r="D72" s="37" t="s">
        <v>16</v>
      </c>
      <c r="E72" s="37" t="s">
        <v>39</v>
      </c>
      <c r="F72" s="38">
        <v>234</v>
      </c>
    </row>
    <row r="73" ht="16" customHeight="1" spans="1:6" x14ac:dyDescent="0.25">
      <c r="A73" s="35" t="s">
        <v>35</v>
      </c>
      <c r="B73" s="35" t="s">
        <v>176</v>
      </c>
      <c r="C73" s="35" t="s">
        <v>177</v>
      </c>
      <c r="D73" s="35" t="s">
        <v>16</v>
      </c>
      <c r="E73" s="35" t="s">
        <v>27</v>
      </c>
      <c r="F73" s="36">
        <v>54</v>
      </c>
    </row>
    <row r="74" ht="16" customHeight="1" spans="1:6" x14ac:dyDescent="0.25">
      <c r="A74" s="37" t="s">
        <v>35</v>
      </c>
      <c r="B74" s="37" t="s">
        <v>176</v>
      </c>
      <c r="C74" s="37" t="s">
        <v>177</v>
      </c>
      <c r="D74" s="37" t="s">
        <v>16</v>
      </c>
      <c r="E74" s="37" t="s">
        <v>17</v>
      </c>
      <c r="F74" s="38">
        <v>22</v>
      </c>
    </row>
    <row r="75" ht="16" customHeight="1" spans="1:6" x14ac:dyDescent="0.25">
      <c r="A75" s="35" t="s">
        <v>35</v>
      </c>
      <c r="B75" s="35" t="s">
        <v>176</v>
      </c>
      <c r="C75" s="35" t="s">
        <v>177</v>
      </c>
      <c r="D75" s="35" t="s">
        <v>16</v>
      </c>
      <c r="E75" s="35" t="s">
        <v>93</v>
      </c>
      <c r="F75" s="36">
        <v>3</v>
      </c>
    </row>
    <row r="76" ht="16" customHeight="1" spans="1:6" x14ac:dyDescent="0.25">
      <c r="A76" s="37" t="s">
        <v>35</v>
      </c>
      <c r="B76" s="37" t="s">
        <v>176</v>
      </c>
      <c r="C76" s="37" t="s">
        <v>177</v>
      </c>
      <c r="D76" s="37" t="s">
        <v>16</v>
      </c>
      <c r="E76" s="37" t="s">
        <v>37</v>
      </c>
      <c r="F76" s="38">
        <v>625</v>
      </c>
    </row>
    <row r="77" ht="16" customHeight="1" spans="1:6" x14ac:dyDescent="0.25">
      <c r="A77" s="35" t="s">
        <v>35</v>
      </c>
      <c r="B77" s="35" t="s">
        <v>176</v>
      </c>
      <c r="C77" s="35" t="s">
        <v>177</v>
      </c>
      <c r="D77" s="35" t="s">
        <v>16</v>
      </c>
      <c r="E77" s="35" t="s">
        <v>109</v>
      </c>
      <c r="F77" s="36">
        <v>2</v>
      </c>
    </row>
    <row r="78" ht="16" customHeight="1" spans="1:6" x14ac:dyDescent="0.25">
      <c r="A78" s="37" t="s">
        <v>35</v>
      </c>
      <c r="B78" s="37" t="s">
        <v>176</v>
      </c>
      <c r="C78" s="37" t="s">
        <v>177</v>
      </c>
      <c r="D78" s="37" t="s">
        <v>16</v>
      </c>
      <c r="E78" s="37" t="s">
        <v>129</v>
      </c>
      <c r="F78" s="38">
        <v>61823</v>
      </c>
    </row>
    <row r="79" ht="16" customHeight="1" spans="1:6" x14ac:dyDescent="0.25">
      <c r="A79" s="35" t="s">
        <v>65</v>
      </c>
      <c r="B79" s="35" t="s">
        <v>66</v>
      </c>
      <c r="C79" s="35" t="s">
        <v>178</v>
      </c>
      <c r="D79" s="35" t="s">
        <v>16</v>
      </c>
      <c r="E79" s="35" t="s">
        <v>82</v>
      </c>
      <c r="F79" s="36">
        <v>7</v>
      </c>
    </row>
    <row r="80" ht="16" customHeight="1" spans="1:6" x14ac:dyDescent="0.25">
      <c r="A80" s="37" t="s">
        <v>65</v>
      </c>
      <c r="B80" s="37" t="s">
        <v>66</v>
      </c>
      <c r="C80" s="37" t="s">
        <v>178</v>
      </c>
      <c r="D80" s="37" t="s">
        <v>16</v>
      </c>
      <c r="E80" s="37" t="s">
        <v>67</v>
      </c>
      <c r="F80" s="38">
        <v>42</v>
      </c>
    </row>
    <row r="81" ht="16" customHeight="1" spans="1:6" x14ac:dyDescent="0.25">
      <c r="A81" s="35" t="s">
        <v>65</v>
      </c>
      <c r="B81" s="35" t="s">
        <v>66</v>
      </c>
      <c r="C81" s="35" t="s">
        <v>178</v>
      </c>
      <c r="D81" s="35" t="s">
        <v>16</v>
      </c>
      <c r="E81" s="35" t="s">
        <v>108</v>
      </c>
      <c r="F81" s="36">
        <v>2</v>
      </c>
    </row>
    <row r="82" ht="16" customHeight="1" spans="1:6" x14ac:dyDescent="0.25">
      <c r="A82" s="37" t="s">
        <v>65</v>
      </c>
      <c r="B82" s="37" t="s">
        <v>66</v>
      </c>
      <c r="C82" s="37" t="s">
        <v>178</v>
      </c>
      <c r="D82" s="37" t="s">
        <v>16</v>
      </c>
      <c r="E82" s="37" t="s">
        <v>84</v>
      </c>
      <c r="F82" s="38">
        <v>6</v>
      </c>
    </row>
    <row r="83" ht="16" customHeight="1" spans="1:6" x14ac:dyDescent="0.25">
      <c r="A83" s="35" t="s">
        <v>57</v>
      </c>
      <c r="B83" s="35" t="s">
        <v>58</v>
      </c>
      <c r="C83" s="35" t="s">
        <v>179</v>
      </c>
      <c r="D83" s="35" t="s">
        <v>16</v>
      </c>
      <c r="E83" s="35" t="s">
        <v>39</v>
      </c>
      <c r="F83" s="36">
        <v>80</v>
      </c>
    </row>
    <row r="84" ht="16" customHeight="1" spans="1:6" x14ac:dyDescent="0.25">
      <c r="A84" s="37" t="s">
        <v>57</v>
      </c>
      <c r="B84" s="37" t="s">
        <v>58</v>
      </c>
      <c r="C84" s="37" t="s">
        <v>179</v>
      </c>
      <c r="D84" s="37" t="s">
        <v>16</v>
      </c>
      <c r="E84" s="37" t="s">
        <v>88</v>
      </c>
      <c r="F84" s="38">
        <v>4</v>
      </c>
    </row>
    <row r="85" ht="16" customHeight="1" spans="1:6" x14ac:dyDescent="0.25">
      <c r="A85" s="33" t="s">
        <v>133</v>
      </c>
      <c r="B85" s="33" t="s">
        <v>134</v>
      </c>
      <c r="C85" s="33" t="s">
        <v>180</v>
      </c>
      <c r="D85" s="33" t="s">
        <v>16</v>
      </c>
      <c r="E85" s="34" t="s">
        <v>146</v>
      </c>
      <c r="F85" s="33" t="s">
        <v>19</v>
      </c>
    </row>
    <row r="86" ht="16" customHeight="1" spans="1:6" x14ac:dyDescent="0.25">
      <c r="A86" s="35" t="s">
        <v>57</v>
      </c>
      <c r="B86" s="35" t="s">
        <v>181</v>
      </c>
      <c r="C86" s="35" t="s">
        <v>182</v>
      </c>
      <c r="D86" s="35" t="s">
        <v>16</v>
      </c>
      <c r="E86" s="35" t="s">
        <v>39</v>
      </c>
      <c r="F86" s="36">
        <v>80</v>
      </c>
    </row>
    <row r="87" ht="16" customHeight="1" spans="1:6" x14ac:dyDescent="0.25">
      <c r="A87" s="37" t="s">
        <v>57</v>
      </c>
      <c r="B87" s="37" t="s">
        <v>181</v>
      </c>
      <c r="C87" s="37" t="s">
        <v>182</v>
      </c>
      <c r="D87" s="37" t="s">
        <v>16</v>
      </c>
      <c r="E87" s="37" t="s">
        <v>88</v>
      </c>
      <c r="F87" s="38">
        <v>4</v>
      </c>
    </row>
    <row r="88" ht="16" customHeight="1" spans="1:6" x14ac:dyDescent="0.25">
      <c r="A88" s="35" t="s">
        <v>65</v>
      </c>
      <c r="B88" s="35" t="s">
        <v>183</v>
      </c>
      <c r="C88" s="35" t="s">
        <v>184</v>
      </c>
      <c r="D88" s="35" t="s">
        <v>16</v>
      </c>
      <c r="E88" s="35" t="s">
        <v>82</v>
      </c>
      <c r="F88" s="36">
        <v>7</v>
      </c>
    </row>
    <row r="89" ht="16" customHeight="1" spans="1:6" x14ac:dyDescent="0.25">
      <c r="A89" s="37" t="s">
        <v>65</v>
      </c>
      <c r="B89" s="37" t="s">
        <v>183</v>
      </c>
      <c r="C89" s="37" t="s">
        <v>184</v>
      </c>
      <c r="D89" s="37" t="s">
        <v>16</v>
      </c>
      <c r="E89" s="37" t="s">
        <v>67</v>
      </c>
      <c r="F89" s="38">
        <v>42</v>
      </c>
    </row>
    <row r="90" ht="16" customHeight="1" spans="1:6" x14ac:dyDescent="0.25">
      <c r="A90" s="35" t="s">
        <v>65</v>
      </c>
      <c r="B90" s="35" t="s">
        <v>183</v>
      </c>
      <c r="C90" s="35" t="s">
        <v>184</v>
      </c>
      <c r="D90" s="35" t="s">
        <v>16</v>
      </c>
      <c r="E90" s="35" t="s">
        <v>108</v>
      </c>
      <c r="F90" s="36">
        <v>2</v>
      </c>
    </row>
    <row r="91" ht="16" customHeight="1" spans="1:6" x14ac:dyDescent="0.25">
      <c r="A91" s="37" t="s">
        <v>65</v>
      </c>
      <c r="B91" s="37" t="s">
        <v>183</v>
      </c>
      <c r="C91" s="37" t="s">
        <v>184</v>
      </c>
      <c r="D91" s="37" t="s">
        <v>16</v>
      </c>
      <c r="E91" s="37" t="s">
        <v>84</v>
      </c>
      <c r="F91" s="38">
        <v>6</v>
      </c>
    </row>
    <row r="92" ht="16" customHeight="1" spans="1:6" x14ac:dyDescent="0.25">
      <c r="A92" s="35" t="s">
        <v>41</v>
      </c>
      <c r="B92" s="35" t="s">
        <v>42</v>
      </c>
      <c r="C92" s="35" t="s">
        <v>185</v>
      </c>
      <c r="D92" s="35" t="s">
        <v>16</v>
      </c>
      <c r="E92" s="35" t="s">
        <v>76</v>
      </c>
      <c r="F92" s="36">
        <v>7</v>
      </c>
    </row>
    <row r="93" ht="16" customHeight="1" spans="1:6" x14ac:dyDescent="0.25">
      <c r="A93" s="37" t="s">
        <v>41</v>
      </c>
      <c r="B93" s="37" t="s">
        <v>42</v>
      </c>
      <c r="C93" s="37" t="s">
        <v>185</v>
      </c>
      <c r="D93" s="37" t="s">
        <v>16</v>
      </c>
      <c r="E93" s="37" t="s">
        <v>25</v>
      </c>
      <c r="F93" s="38">
        <v>442</v>
      </c>
    </row>
    <row r="94" ht="16" customHeight="1" spans="1:6" x14ac:dyDescent="0.25">
      <c r="A94" s="35" t="s">
        <v>41</v>
      </c>
      <c r="B94" s="35" t="s">
        <v>42</v>
      </c>
      <c r="C94" s="35" t="s">
        <v>185</v>
      </c>
      <c r="D94" s="35" t="s">
        <v>16</v>
      </c>
      <c r="E94" s="35" t="s">
        <v>60</v>
      </c>
      <c r="F94" s="36">
        <v>73</v>
      </c>
    </row>
    <row r="95" ht="16" customHeight="1" spans="1:6" x14ac:dyDescent="0.25">
      <c r="A95" s="37" t="s">
        <v>41</v>
      </c>
      <c r="B95" s="37" t="s">
        <v>42</v>
      </c>
      <c r="C95" s="37" t="s">
        <v>185</v>
      </c>
      <c r="D95" s="37" t="s">
        <v>16</v>
      </c>
      <c r="E95" s="37" t="s">
        <v>86</v>
      </c>
      <c r="F95" s="38">
        <v>5</v>
      </c>
    </row>
    <row r="96" ht="16" customHeight="1" spans="1:6" x14ac:dyDescent="0.25">
      <c r="A96" s="35" t="s">
        <v>44</v>
      </c>
      <c r="B96" s="35" t="s">
        <v>45</v>
      </c>
      <c r="C96" s="35" t="s">
        <v>186</v>
      </c>
      <c r="D96" s="35" t="s">
        <v>16</v>
      </c>
      <c r="E96" s="35" t="s">
        <v>46</v>
      </c>
      <c r="F96" s="36">
        <v>335</v>
      </c>
    </row>
    <row r="97" ht="16" customHeight="1" spans="1:6" x14ac:dyDescent="0.25">
      <c r="A97" s="37" t="s">
        <v>44</v>
      </c>
      <c r="B97" s="37" t="s">
        <v>45</v>
      </c>
      <c r="C97" s="37" t="s">
        <v>186</v>
      </c>
      <c r="D97" s="37" t="s">
        <v>16</v>
      </c>
      <c r="E97" s="37" t="s">
        <v>73</v>
      </c>
      <c r="F97" s="38">
        <v>26</v>
      </c>
    </row>
    <row r="98" ht="16" customHeight="1" spans="1:6" x14ac:dyDescent="0.25">
      <c r="A98" s="35" t="s">
        <v>118</v>
      </c>
      <c r="B98" s="35" t="s">
        <v>119</v>
      </c>
      <c r="C98" s="35" t="s">
        <v>187</v>
      </c>
      <c r="D98" s="35" t="s">
        <v>16</v>
      </c>
      <c r="E98" s="35" t="s">
        <v>39</v>
      </c>
      <c r="F98" s="36">
        <v>1</v>
      </c>
    </row>
    <row r="99" ht="16" customHeight="1" spans="1:6" x14ac:dyDescent="0.25">
      <c r="A99" s="35" t="s">
        <v>41</v>
      </c>
      <c r="B99" s="35" t="s">
        <v>188</v>
      </c>
      <c r="C99" s="35" t="s">
        <v>189</v>
      </c>
      <c r="D99" s="35" t="s">
        <v>16</v>
      </c>
      <c r="E99" s="35" t="s">
        <v>76</v>
      </c>
      <c r="F99" s="36">
        <v>7</v>
      </c>
    </row>
    <row r="100" ht="16" customHeight="1" spans="1:6" x14ac:dyDescent="0.25">
      <c r="A100" s="37" t="s">
        <v>41</v>
      </c>
      <c r="B100" s="37" t="s">
        <v>188</v>
      </c>
      <c r="C100" s="37" t="s">
        <v>189</v>
      </c>
      <c r="D100" s="37" t="s">
        <v>16</v>
      </c>
      <c r="E100" s="37" t="s">
        <v>25</v>
      </c>
      <c r="F100" s="38">
        <v>442</v>
      </c>
    </row>
    <row r="101" ht="16" customHeight="1" spans="1:6" x14ac:dyDescent="0.25">
      <c r="A101" s="35" t="s">
        <v>41</v>
      </c>
      <c r="B101" s="35" t="s">
        <v>188</v>
      </c>
      <c r="C101" s="35" t="s">
        <v>189</v>
      </c>
      <c r="D101" s="35" t="s">
        <v>16</v>
      </c>
      <c r="E101" s="35" t="s">
        <v>60</v>
      </c>
      <c r="F101" s="36">
        <v>73</v>
      </c>
    </row>
    <row r="102" ht="16" customHeight="1" spans="1:6" x14ac:dyDescent="0.25">
      <c r="A102" s="37" t="s">
        <v>41</v>
      </c>
      <c r="B102" s="37" t="s">
        <v>188</v>
      </c>
      <c r="C102" s="37" t="s">
        <v>189</v>
      </c>
      <c r="D102" s="37" t="s">
        <v>16</v>
      </c>
      <c r="E102" s="37" t="s">
        <v>86</v>
      </c>
      <c r="F102" s="38">
        <v>5</v>
      </c>
    </row>
    <row r="103" ht="16" customHeight="1" spans="1:6" x14ac:dyDescent="0.25">
      <c r="A103" s="35" t="s">
        <v>49</v>
      </c>
      <c r="B103" s="35" t="s">
        <v>50</v>
      </c>
      <c r="C103" s="35" t="s">
        <v>190</v>
      </c>
      <c r="D103" s="35" t="s">
        <v>16</v>
      </c>
      <c r="E103" s="35" t="s">
        <v>113</v>
      </c>
      <c r="F103" s="36">
        <v>1</v>
      </c>
    </row>
    <row r="104" ht="16" customHeight="1" spans="1:6" x14ac:dyDescent="0.25">
      <c r="A104" s="37" t="s">
        <v>49</v>
      </c>
      <c r="B104" s="37" t="s">
        <v>50</v>
      </c>
      <c r="C104" s="37" t="s">
        <v>190</v>
      </c>
      <c r="D104" s="37" t="s">
        <v>16</v>
      </c>
      <c r="E104" s="37" t="s">
        <v>51</v>
      </c>
      <c r="F104" s="38">
        <v>129</v>
      </c>
    </row>
    <row r="105" ht="16" customHeight="1" spans="1:6" x14ac:dyDescent="0.25">
      <c r="A105" s="35" t="s">
        <v>49</v>
      </c>
      <c r="B105" s="35" t="s">
        <v>191</v>
      </c>
      <c r="C105" s="35" t="s">
        <v>192</v>
      </c>
      <c r="D105" s="35" t="s">
        <v>16</v>
      </c>
      <c r="E105" s="35" t="s">
        <v>113</v>
      </c>
      <c r="F105" s="36">
        <v>1</v>
      </c>
    </row>
    <row r="106" ht="16" customHeight="1" spans="1:6" x14ac:dyDescent="0.25">
      <c r="A106" s="37" t="s">
        <v>49</v>
      </c>
      <c r="B106" s="37" t="s">
        <v>191</v>
      </c>
      <c r="C106" s="37" t="s">
        <v>192</v>
      </c>
      <c r="D106" s="37" t="s">
        <v>16</v>
      </c>
      <c r="E106" s="37" t="s">
        <v>51</v>
      </c>
      <c r="F106" s="38">
        <v>129</v>
      </c>
    </row>
    <row r="107" ht="16" customHeight="1" spans="1:6" x14ac:dyDescent="0.25">
      <c r="A107" s="33" t="s">
        <v>124</v>
      </c>
      <c r="B107" s="33" t="s">
        <v>125</v>
      </c>
      <c r="C107" s="33" t="s">
        <v>193</v>
      </c>
      <c r="D107" s="33" t="s">
        <v>126</v>
      </c>
      <c r="E107" s="34" t="s">
        <v>146</v>
      </c>
      <c r="F107" s="33" t="s">
        <v>19</v>
      </c>
    </row>
    <row r="108" ht="16" customHeight="1" spans="1:6" x14ac:dyDescent="0.25">
      <c r="A108" s="35" t="s">
        <v>21</v>
      </c>
      <c r="B108" s="35" t="s">
        <v>22</v>
      </c>
      <c r="C108" s="35" t="s">
        <v>194</v>
      </c>
      <c r="D108" s="35" t="s">
        <v>16</v>
      </c>
      <c r="E108" s="35" t="s">
        <v>76</v>
      </c>
      <c r="F108" s="36">
        <v>21</v>
      </c>
    </row>
    <row r="109" ht="16" customHeight="1" spans="1:6" x14ac:dyDescent="0.25">
      <c r="A109" s="37" t="s">
        <v>21</v>
      </c>
      <c r="B109" s="37" t="s">
        <v>22</v>
      </c>
      <c r="C109" s="37" t="s">
        <v>194</v>
      </c>
      <c r="D109" s="37" t="s">
        <v>16</v>
      </c>
      <c r="E109" s="37" t="s">
        <v>80</v>
      </c>
      <c r="F109" s="38">
        <v>9</v>
      </c>
    </row>
    <row r="110" ht="16" customHeight="1" spans="1:6" x14ac:dyDescent="0.25">
      <c r="A110" s="35" t="s">
        <v>21</v>
      </c>
      <c r="B110" s="35" t="s">
        <v>22</v>
      </c>
      <c r="C110" s="35" t="s">
        <v>194</v>
      </c>
      <c r="D110" s="35" t="s">
        <v>16</v>
      </c>
      <c r="E110" s="35" t="s">
        <v>25</v>
      </c>
      <c r="F110" s="36">
        <v>10614</v>
      </c>
    </row>
    <row r="111" ht="16" customHeight="1" spans="1:6" x14ac:dyDescent="0.25">
      <c r="A111" s="37" t="s">
        <v>21</v>
      </c>
      <c r="B111" s="37" t="s">
        <v>22</v>
      </c>
      <c r="C111" s="37" t="s">
        <v>194</v>
      </c>
      <c r="D111" s="37" t="s">
        <v>16</v>
      </c>
      <c r="E111" s="37" t="s">
        <v>116</v>
      </c>
      <c r="F111" s="38">
        <v>1</v>
      </c>
    </row>
    <row r="112" ht="16" customHeight="1" spans="1:6" x14ac:dyDescent="0.25">
      <c r="A112" s="35" t="s">
        <v>21</v>
      </c>
      <c r="B112" s="35" t="s">
        <v>22</v>
      </c>
      <c r="C112" s="35" t="s">
        <v>194</v>
      </c>
      <c r="D112" s="35" t="s">
        <v>16</v>
      </c>
      <c r="E112" s="35" t="s">
        <v>33</v>
      </c>
      <c r="F112" s="36">
        <v>1089</v>
      </c>
    </row>
    <row r="113" ht="16" customHeight="1" spans="1:6" x14ac:dyDescent="0.25">
      <c r="A113" s="37" t="s">
        <v>21</v>
      </c>
      <c r="B113" s="37" t="s">
        <v>22</v>
      </c>
      <c r="C113" s="37" t="s">
        <v>194</v>
      </c>
      <c r="D113" s="37" t="s">
        <v>16</v>
      </c>
      <c r="E113" s="37" t="s">
        <v>90</v>
      </c>
      <c r="F113" s="38">
        <v>4</v>
      </c>
    </row>
    <row r="114" ht="16" customHeight="1" spans="1:6" x14ac:dyDescent="0.25">
      <c r="A114" s="35" t="s">
        <v>21</v>
      </c>
      <c r="B114" s="35" t="s">
        <v>22</v>
      </c>
      <c r="C114" s="35" t="s">
        <v>194</v>
      </c>
      <c r="D114" s="35" t="s">
        <v>16</v>
      </c>
      <c r="E114" s="35" t="s">
        <v>23</v>
      </c>
      <c r="F114" s="36">
        <v>17107</v>
      </c>
    </row>
    <row r="115" ht="16" customHeight="1" spans="1:6" x14ac:dyDescent="0.25">
      <c r="A115" s="33" t="s">
        <v>139</v>
      </c>
      <c r="B115" s="33" t="s">
        <v>140</v>
      </c>
      <c r="C115" s="33" t="s">
        <v>195</v>
      </c>
      <c r="D115" s="33" t="s">
        <v>16</v>
      </c>
      <c r="E115" s="34" t="s">
        <v>146</v>
      </c>
      <c r="F115" s="33" t="s">
        <v>19</v>
      </c>
    </row>
  </sheetData>
  <autoFilter ref="A2:F115"/>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FormatPr defaultRowHeight="15" outlineLevelRow="0" outlineLevelCol="0" x14ac:dyDescent="55"/>
  <cols>
    <col min="1" max="1" width="28" customWidth="1"/>
    <col min="2" max="2" width="72" customWidth="1"/>
  </cols>
  <sheetData>
    <row r="1" ht="28" customHeight="1" spans="1:2" x14ac:dyDescent="0.25">
      <c r="A1" s="1" t="s">
        <v>196</v>
      </c>
      <c r="B1" s="1"/>
    </row>
    <row r="2" ht="22" customHeight="1" spans="1:2" x14ac:dyDescent="0.25">
      <c r="A2" s="39" t="s">
        <v>197</v>
      </c>
      <c r="B2" s="39"/>
    </row>
    <row r="3" ht="20" customHeight="1" spans="1:2" x14ac:dyDescent="0.25">
      <c r="A3" s="40" t="s">
        <v>19</v>
      </c>
      <c r="B3" s="41" t="s">
        <v>198</v>
      </c>
    </row>
    <row r="4" ht="22" customHeight="1" spans="1:2" x14ac:dyDescent="0.25">
      <c r="A4" s="39" t="s">
        <v>199</v>
      </c>
      <c r="B4" s="39"/>
    </row>
    <row r="5" ht="20" customHeight="1" spans="1:2" x14ac:dyDescent="0.25">
      <c r="A5" s="42" t="s">
        <v>200</v>
      </c>
      <c r="B5" s="41" t="s">
        <v>201</v>
      </c>
    </row>
    <row r="6" ht="20" customHeight="1" spans="1:2" x14ac:dyDescent="0.25">
      <c r="A6" s="42" t="s">
        <v>202</v>
      </c>
      <c r="B6" s="41" t="s">
        <v>203</v>
      </c>
    </row>
    <row r="7" ht="20" customHeight="1" spans="1:2" x14ac:dyDescent="0.25">
      <c r="A7" s="42" t="s">
        <v>204</v>
      </c>
      <c r="B7" s="41" t="s">
        <v>205</v>
      </c>
    </row>
    <row r="8" ht="20" customHeight="1" spans="1:2" x14ac:dyDescent="0.25">
      <c r="A8" s="42" t="s">
        <v>206</v>
      </c>
      <c r="B8" s="41" t="s">
        <v>207</v>
      </c>
    </row>
    <row r="9" ht="20" customHeight="1" spans="1:2" x14ac:dyDescent="0.25">
      <c r="A9" s="42" t="s">
        <v>208</v>
      </c>
      <c r="B9" s="41" t="s">
        <v>209</v>
      </c>
    </row>
    <row r="10" ht="20" customHeight="1" spans="1:2" x14ac:dyDescent="0.25">
      <c r="A10" s="42" t="s">
        <v>210</v>
      </c>
      <c r="B10" s="41" t="s">
        <v>211</v>
      </c>
    </row>
    <row r="11" ht="22" customHeight="1" spans="1:2" x14ac:dyDescent="0.25">
      <c r="A11" s="39" t="s">
        <v>212</v>
      </c>
      <c r="B11" s="39"/>
    </row>
    <row r="12" ht="20" customHeight="1" spans="1:2" x14ac:dyDescent="0.25">
      <c r="A12" s="42" t="s">
        <v>213</v>
      </c>
      <c r="B12" s="41" t="s">
        <v>214</v>
      </c>
    </row>
    <row r="13" ht="20" customHeight="1" spans="1:2" x14ac:dyDescent="0.25">
      <c r="A13" s="42" t="s">
        <v>215</v>
      </c>
      <c r="B13" s="41" t="s">
        <v>216</v>
      </c>
    </row>
    <row r="14" ht="20" customHeight="1" spans="1:2" x14ac:dyDescent="0.25">
      <c r="A14" s="42" t="s">
        <v>217</v>
      </c>
      <c r="B14" s="41" t="s">
        <v>218</v>
      </c>
    </row>
    <row r="15" ht="20" customHeight="1" spans="1:2" x14ac:dyDescent="0.25">
      <c r="A15" s="42" t="s">
        <v>219</v>
      </c>
      <c r="B15" s="41" t="s">
        <v>220</v>
      </c>
    </row>
    <row r="16" ht="20" customHeight="1" spans="1:2" x14ac:dyDescent="0.25">
      <c r="A16" s="42" t="s">
        <v>221</v>
      </c>
      <c r="B16" s="41" t="s">
        <v>222</v>
      </c>
    </row>
    <row r="17" ht="22" customHeight="1" spans="1:2" x14ac:dyDescent="0.25">
      <c r="A17" s="39" t="s">
        <v>223</v>
      </c>
      <c r="B17" s="39"/>
    </row>
    <row r="18" ht="20" customHeight="1" spans="1:2" x14ac:dyDescent="0.25">
      <c r="A18" s="42" t="s">
        <v>20</v>
      </c>
      <c r="B18" s="41" t="s">
        <v>224</v>
      </c>
    </row>
    <row r="19" ht="20" customHeight="1" spans="1:2" x14ac:dyDescent="0.25">
      <c r="A19" s="42" t="s">
        <v>225</v>
      </c>
      <c r="B19" s="41" t="s">
        <v>226</v>
      </c>
    </row>
    <row r="20" ht="20" customHeight="1" spans="1:2" x14ac:dyDescent="0.25">
      <c r="A20" s="42" t="s">
        <v>227</v>
      </c>
      <c r="B20" s="41" t="s">
        <v>228</v>
      </c>
    </row>
    <row r="21" ht="20" customHeight="1" spans="1:2" x14ac:dyDescent="0.25">
      <c r="A21" s="42" t="s">
        <v>229</v>
      </c>
      <c r="B21" s="41" t="s">
        <v>230</v>
      </c>
    </row>
    <row r="22" ht="22" customHeight="1" spans="1:2" x14ac:dyDescent="0.25">
      <c r="A22" s="39" t="s">
        <v>231</v>
      </c>
      <c r="B22" s="39"/>
    </row>
    <row r="23" ht="20" customHeight="1" spans="1:2" x14ac:dyDescent="0.25">
      <c r="A23" s="42" t="s">
        <v>232</v>
      </c>
      <c r="B23" s="41" t="s">
        <v>233</v>
      </c>
    </row>
    <row r="24" ht="20" customHeight="1" spans="1:2" x14ac:dyDescent="0.25">
      <c r="A24" s="42" t="s">
        <v>234</v>
      </c>
      <c r="B24" s="41" t="s">
        <v>235</v>
      </c>
    </row>
    <row r="25" ht="20" customHeight="1" spans="1:2" x14ac:dyDescent="0.25">
      <c r="A25" s="42" t="s">
        <v>236</v>
      </c>
      <c r="B25" s="41" t="s">
        <v>237</v>
      </c>
    </row>
    <row r="26" ht="22" customHeight="1" spans="1:2" x14ac:dyDescent="0.25">
      <c r="A26" s="39" t="s">
        <v>238</v>
      </c>
      <c r="B26" s="39"/>
    </row>
    <row r="27" ht="20" customHeight="1" spans="1:2" x14ac:dyDescent="0.25">
      <c r="A27" s="42" t="s">
        <v>239</v>
      </c>
      <c r="B27" s="41" t="s">
        <v>240</v>
      </c>
    </row>
    <row r="28" ht="20" customHeight="1" spans="1:2" x14ac:dyDescent="0.25">
      <c r="A28" s="42" t="s">
        <v>241</v>
      </c>
      <c r="B28" s="41" t="s">
        <v>242</v>
      </c>
    </row>
    <row r="29" ht="20" customHeight="1" spans="1:2" x14ac:dyDescent="0.25">
      <c r="A29" s="42" t="s">
        <v>243</v>
      </c>
      <c r="B29" s="41" t="s">
        <v>244</v>
      </c>
    </row>
    <row r="30" ht="20" customHeight="1" spans="1:2" x14ac:dyDescent="0.25">
      <c r="A30" s="42" t="s">
        <v>245</v>
      </c>
      <c r="B30" s="41" t="s">
        <v>246</v>
      </c>
    </row>
    <row r="31" ht="20" customHeight="1" spans="1:2" x14ac:dyDescent="0.25">
      <c r="A31" s="42" t="s">
        <v>247</v>
      </c>
      <c r="B31" s="41" t="s">
        <v>248</v>
      </c>
    </row>
  </sheetData>
  <mergeCells count="7">
    <mergeCell ref="A1:B1"/>
    <mergeCell ref="A2:B2"/>
    <mergeCell ref="A4:B4"/>
    <mergeCell ref="A11:B11"/>
    <mergeCell ref="A17:B17"/>
    <mergeCell ref="A22:B22"/>
    <mergeCell ref="A26:B2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Triage</vt:lpstr>
      <vt:lpstr>Run History</vt:lpstr>
      <vt:lpstr>Instructions &amp; Legend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S1 Rehearsal Triage</dc:creator>
  <dc:title/>
  <dc:subject/>
  <dc:description/>
  <cp:keywords/>
  <cp:category/>
  <cp:lastModifiedBy>Unknown</cp:lastModifiedBy>
  <dcterms:created xsi:type="dcterms:W3CDTF">2026-08-17T14:39:19Z</dcterms:created>
  <dcterms:modified xsi:type="dcterms:W3CDTF">2026-08-17T14:39:19Z</dcterms:modified>
</cp:coreProperties>
</file>