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du\Desktop\SMF\"/>
    </mc:Choice>
  </mc:AlternateContent>
  <xr:revisionPtr revIDLastSave="0" documentId="13_ncr:1_{C95CBB7D-8C30-4B9B-90E6-C0CA282D20AD}" xr6:coauthVersionLast="47" xr6:coauthVersionMax="47" xr10:uidLastSave="{00000000-0000-0000-0000-000000000000}"/>
  <bookViews>
    <workbookView xWindow="-110" yWindow="-110" windowWidth="38620" windowHeight="21100" xr2:uid="{C07845EA-6574-9A48-ACDE-C6DB77FC1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  <c r="O7" i="1"/>
  <c r="O6" i="1"/>
  <c r="O5" i="1"/>
  <c r="O4" i="1"/>
  <c r="O3" i="1"/>
  <c r="O2" i="1"/>
  <c r="K7" i="1"/>
  <c r="K6" i="1"/>
  <c r="K5" i="1"/>
  <c r="K4" i="1"/>
  <c r="K3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<sst xmlns="http://schemas.openxmlformats.org/spreadsheetml/2006/main" count="66" uniqueCount="43">
  <si>
    <t>Low Hours</t>
  </si>
  <si>
    <t>Qualifying Event</t>
  </si>
  <si>
    <t>Med Benefits Lost</t>
  </si>
  <si>
    <t>Dental Benefits Lost</t>
  </si>
  <si>
    <t>Kaiser</t>
  </si>
  <si>
    <t>Delta</t>
  </si>
  <si>
    <t>John Smith</t>
  </si>
  <si>
    <t>Subscriber</t>
  </si>
  <si>
    <t>Death</t>
  </si>
  <si>
    <t>Dependent</t>
  </si>
  <si>
    <t>Jerry Lewis</t>
  </si>
  <si>
    <t>Sandra Lewis</t>
  </si>
  <si>
    <t>Relationship</t>
  </si>
  <si>
    <t>Self</t>
  </si>
  <si>
    <t>Spouse</t>
  </si>
  <si>
    <t>Child</t>
  </si>
  <si>
    <t>Jim Lewis</t>
  </si>
  <si>
    <t>Age Out</t>
  </si>
  <si>
    <t>Child Miller</t>
  </si>
  <si>
    <t>Dad Miller</t>
  </si>
  <si>
    <t>Max COBRA Period</t>
  </si>
  <si>
    <t>Source of Event</t>
  </si>
  <si>
    <t>Life Event</t>
  </si>
  <si>
    <t>Divorce</t>
  </si>
  <si>
    <t>Karen Flowers</t>
  </si>
  <si>
    <t>Jared Flowers</t>
  </si>
  <si>
    <t>COBRA Offer Date</t>
  </si>
  <si>
    <t>Last Day To Elect COBRA</t>
  </si>
  <si>
    <t>Gary Johnson</t>
  </si>
  <si>
    <t>Date Election Was Made</t>
  </si>
  <si>
    <t>Initial Payment Deadline</t>
  </si>
  <si>
    <t>Benefit End Date / COBRA Effective Date</t>
  </si>
  <si>
    <t>COBRA Payment Status</t>
  </si>
  <si>
    <t>Null (No Election)</t>
  </si>
  <si>
    <t>Delinquent</t>
  </si>
  <si>
    <t>Paid</t>
  </si>
  <si>
    <t>Grace</t>
  </si>
  <si>
    <t>WMB Event</t>
  </si>
  <si>
    <t>New</t>
  </si>
  <si>
    <t>Enrolled</t>
  </si>
  <si>
    <t>Pending First Payment</t>
  </si>
  <si>
    <t>Closed</t>
  </si>
  <si>
    <t>COBRA Case Status*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</si>
</sst>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6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b/>
      <sz val="12"/>
      <color rgb="FF0061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14" fontId="0" fillId="0" borderId="0" xfId="0" applyNumberFormat="1"/>
    <xf numFmtId="164" fontId="2" fillId="0" borderId="0" xfId="0" applyNumberFormat="1" applyFont="1"/>
    <xf numFmtId="164" fontId="4" fillId="0" borderId="0" xfId="0" applyNumberFormat="1" applyFont="1"/>
    <xf numFmtId="164" fontId="0" fillId="0" borderId="0" xfId="0" applyNumberFormat="1"/>
    <xf numFmtId="0" fontId="1" fillId="2" borderId="0" xfId="1"/>
    <xf numFmtId="0" fontId="5" fillId="2" borderId="0" xfId="1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B73ADC-2DB9-7647-96D6-081CD5CB92A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7985d28-2918-45d2-b73d-02462fa8804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E0A6-2E4E-9342-A371-7BA41909F6A9}">
  <dimension ref="A1:O12"/>
  <sheetViews>
    <sheetView tabSelected="1" zoomScale="136" workbookViewId="0">
      <selection activeCell="B1" sqref="B1"/>
    </sheetView>
  </sheetViews>
  <sheetFormatPr defaultColWidth="11.1640625" defaultRowHeight="16" x14ac:dyDescent="0.4"/>
  <cols>
    <col min="1" max="1" width="13.6640625" style="9" bestFit="1" customWidth="1"/>
    <col min="2" max="2" width="13.6640625" style="9" customWidth="1"/>
    <col min="3" max="3" width="14.33203125" bestFit="1" customWidth="1"/>
    <col min="4" max="4" width="12.1640625" bestFit="1" customWidth="1"/>
    <col min="5" max="5" width="12.5" bestFit="1" customWidth="1"/>
    <col min="6" max="6" width="11.5" bestFit="1" customWidth="1"/>
    <col min="7" max="7" width="22.5" style="8" customWidth="1"/>
    <col min="8" max="8" width="16.5" style="8" bestFit="1" customWidth="1"/>
    <col min="9" max="9" width="21.83203125" style="8" bestFit="1" customWidth="1"/>
    <col min="10" max="10" width="21.1640625" style="8" bestFit="1" customWidth="1"/>
    <col min="11" max="11" width="21.5" style="8" bestFit="1" customWidth="1"/>
    <col min="12" max="12" width="20.83203125" bestFit="1" customWidth="1"/>
    <col min="13" max="13" width="16" bestFit="1" customWidth="1"/>
    <col min="14" max="14" width="18.1640625" bestFit="1" customWidth="1"/>
    <col min="15" max="15" width="16.83203125" bestFit="1" customWidth="1"/>
  </cols>
  <sheetData>
    <row r="1" spans="1:15" x14ac:dyDescent="0.4">
      <c r="A1" s="10" t="s">
        <v>21</v>
      </c>
      <c r="B1" s="10" t="s">
        <v>42</v>
      </c>
      <c r="C1" s="1" t="s">
        <v>1</v>
      </c>
      <c r="D1" s="2" t="s">
        <v>9</v>
      </c>
      <c r="E1" s="2" t="s">
        <v>7</v>
      </c>
      <c r="F1" s="2" t="s">
        <v>12</v>
      </c>
      <c r="G1" s="6" t="s">
        <v>31</v>
      </c>
      <c r="H1" s="6" t="s">
        <v>26</v>
      </c>
      <c r="I1" s="6" t="s">
        <v>27</v>
      </c>
      <c r="J1" s="6" t="s">
        <v>29</v>
      </c>
      <c r="K1" s="6" t="s">
        <v>30</v>
      </c>
      <c r="L1" s="1" t="s">
        <v>32</v>
      </c>
      <c r="M1" s="1" t="s">
        <v>2</v>
      </c>
      <c r="N1" s="1" t="s">
        <v>3</v>
      </c>
      <c r="O1" s="1" t="s">
        <v>20</v>
      </c>
    </row>
    <row r="2" spans="1:15" x14ac:dyDescent="0.4">
      <c r="A2" s="9" t="s">
        <v>37</v>
      </c>
      <c r="B2" s="9" t="s">
        <v>38</v>
      </c>
      <c r="C2" s="3" t="s">
        <v>0</v>
      </c>
      <c r="D2" s="3" t="s">
        <v>6</v>
      </c>
      <c r="E2" s="3" t="s">
        <v>6</v>
      </c>
      <c r="F2" s="3" t="s">
        <v>13</v>
      </c>
      <c r="G2" s="7">
        <v>46204</v>
      </c>
      <c r="H2" s="7">
        <v>46193</v>
      </c>
      <c r="I2" s="7">
        <f t="shared" ref="I2:I7" si="0">MAX(G2,H2)+60</f>
        <v>46264</v>
      </c>
      <c r="J2" s="7">
        <v>46235</v>
      </c>
      <c r="K2" s="7">
        <f t="shared" ref="K2:K7" si="1">MAX(J2,G2)+45</f>
        <v>46280</v>
      </c>
      <c r="L2" t="s">
        <v>33</v>
      </c>
      <c r="M2" s="3" t="s">
        <v>4</v>
      </c>
      <c r="N2" s="3" t="s">
        <v>5</v>
      </c>
      <c r="O2" s="5">
        <f t="shared" ref="O2:O7" si="2">EDATE(G2,IF(OR(C2="Low Hours",C2="Job Loss"),18,IF(OR(C2="Death",C2="Divorce",C2="Age Out"),36,"")))</f>
        <v>46753</v>
      </c>
    </row>
    <row r="3" spans="1:15" s="3" customFormat="1" ht="17" customHeight="1" x14ac:dyDescent="0.4">
      <c r="A3" s="9" t="s">
        <v>37</v>
      </c>
      <c r="B3" s="9" t="s">
        <v>40</v>
      </c>
      <c r="C3" s="3" t="s">
        <v>0</v>
      </c>
      <c r="D3" s="3" t="s">
        <v>28</v>
      </c>
      <c r="E3" s="3" t="s">
        <v>28</v>
      </c>
      <c r="F3" s="3" t="s">
        <v>13</v>
      </c>
      <c r="G3" s="7">
        <v>46204</v>
      </c>
      <c r="H3" s="7">
        <v>46218</v>
      </c>
      <c r="I3" s="7">
        <f t="shared" si="0"/>
        <v>46278</v>
      </c>
      <c r="J3" s="7">
        <v>46277</v>
      </c>
      <c r="K3" s="7">
        <f t="shared" si="1"/>
        <v>46322</v>
      </c>
      <c r="L3" s="3" t="s">
        <v>34</v>
      </c>
      <c r="M3" s="3" t="s">
        <v>4</v>
      </c>
      <c r="N3" s="3" t="s">
        <v>5</v>
      </c>
      <c r="O3" s="4">
        <f t="shared" si="2"/>
        <v>46753</v>
      </c>
    </row>
    <row r="4" spans="1:15" x14ac:dyDescent="0.4">
      <c r="A4" s="9" t="s">
        <v>37</v>
      </c>
      <c r="B4" s="9" t="s">
        <v>39</v>
      </c>
      <c r="C4" t="s">
        <v>17</v>
      </c>
      <c r="D4" t="s">
        <v>18</v>
      </c>
      <c r="E4" t="s">
        <v>19</v>
      </c>
      <c r="F4" t="s">
        <v>15</v>
      </c>
      <c r="G4" s="8">
        <v>46204</v>
      </c>
      <c r="H4" s="7">
        <v>46193</v>
      </c>
      <c r="I4" s="7">
        <f t="shared" si="0"/>
        <v>46264</v>
      </c>
      <c r="J4" s="8">
        <v>46183</v>
      </c>
      <c r="K4" s="7">
        <f t="shared" si="1"/>
        <v>46249</v>
      </c>
      <c r="L4" t="s">
        <v>35</v>
      </c>
      <c r="M4" t="s">
        <v>4</v>
      </c>
      <c r="N4" t="s">
        <v>5</v>
      </c>
      <c r="O4" s="5">
        <f t="shared" si="2"/>
        <v>47300</v>
      </c>
    </row>
    <row r="5" spans="1:15" x14ac:dyDescent="0.4">
      <c r="A5" s="9" t="s">
        <v>22</v>
      </c>
      <c r="B5" s="9" t="s">
        <v>34</v>
      </c>
      <c r="C5" t="s">
        <v>8</v>
      </c>
      <c r="D5" t="s">
        <v>11</v>
      </c>
      <c r="E5" t="s">
        <v>10</v>
      </c>
      <c r="F5" t="s">
        <v>14</v>
      </c>
      <c r="G5" s="8">
        <v>46204</v>
      </c>
      <c r="H5" s="8">
        <v>46202</v>
      </c>
      <c r="I5" s="7">
        <f t="shared" si="0"/>
        <v>46264</v>
      </c>
      <c r="J5" s="8">
        <v>46208</v>
      </c>
      <c r="K5" s="7">
        <f t="shared" si="1"/>
        <v>46253</v>
      </c>
      <c r="L5" t="s">
        <v>36</v>
      </c>
      <c r="M5" t="s">
        <v>4</v>
      </c>
      <c r="N5" t="s">
        <v>5</v>
      </c>
      <c r="O5" s="5">
        <f t="shared" si="2"/>
        <v>47300</v>
      </c>
    </row>
    <row r="6" spans="1:15" x14ac:dyDescent="0.4">
      <c r="A6" s="9" t="s">
        <v>22</v>
      </c>
      <c r="B6" s="9" t="s">
        <v>41</v>
      </c>
      <c r="C6" t="s">
        <v>8</v>
      </c>
      <c r="D6" t="s">
        <v>16</v>
      </c>
      <c r="E6" t="s">
        <v>10</v>
      </c>
      <c r="F6" t="s">
        <v>15</v>
      </c>
      <c r="G6" s="8">
        <v>46204</v>
      </c>
      <c r="H6" s="8">
        <v>46175</v>
      </c>
      <c r="I6" s="7">
        <f t="shared" si="0"/>
        <v>46264</v>
      </c>
      <c r="J6" s="8">
        <v>46213</v>
      </c>
      <c r="K6" s="7">
        <f t="shared" si="1"/>
        <v>46258</v>
      </c>
      <c r="M6" t="s">
        <v>4</v>
      </c>
      <c r="N6" t="s">
        <v>5</v>
      </c>
      <c r="O6" s="5">
        <f t="shared" si="2"/>
        <v>47300</v>
      </c>
    </row>
    <row r="7" spans="1:15" x14ac:dyDescent="0.4">
      <c r="A7" s="9" t="s">
        <v>22</v>
      </c>
      <c r="C7" t="s">
        <v>23</v>
      </c>
      <c r="D7" t="s">
        <v>25</v>
      </c>
      <c r="E7" t="s">
        <v>24</v>
      </c>
      <c r="F7" t="s">
        <v>14</v>
      </c>
      <c r="G7" s="8">
        <v>46204</v>
      </c>
      <c r="H7" s="8">
        <v>46206</v>
      </c>
      <c r="I7" s="7">
        <f t="shared" si="0"/>
        <v>46266</v>
      </c>
      <c r="J7" s="8">
        <v>46263</v>
      </c>
      <c r="K7" s="7">
        <f t="shared" si="1"/>
        <v>46308</v>
      </c>
      <c r="M7" t="s">
        <v>4</v>
      </c>
      <c r="N7" t="s">
        <v>5</v>
      </c>
      <c r="O7" s="5">
        <f t="shared" si="2"/>
        <v>47300</v>
      </c>
    </row>
    <row r="11" spans="1:15" x14ac:dyDescent="0.4">
      <c r="J11"/>
    </row>
    <row r="12" spans="1:15" x14ac:dyDescent="0.4">
      <c r="J1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McDermott</dc:creator>
  <cp:lastModifiedBy>John  Young</cp:lastModifiedBy>
  <dcterms:created xsi:type="dcterms:W3CDTF">2026-07-16T17:44:41Z</dcterms:created>
  <dcterms:modified xsi:type="dcterms:W3CDTF">2026-07-17T19:00:20Z</dcterms:modified>
</cp:coreProperties>
</file>